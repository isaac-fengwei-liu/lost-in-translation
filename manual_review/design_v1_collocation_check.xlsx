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fengweiliu_cmail_carleton_ca/Documents/Bilingual_Semantics/Stimuli/manual_review/"/>
    </mc:Choice>
  </mc:AlternateContent>
  <xr:revisionPtr revIDLastSave="56" documentId="8_{16AA100A-F52F-8A4D-8C40-8E54D5BB80A5}" xr6:coauthVersionLast="47" xr6:coauthVersionMax="47" xr10:uidLastSave="{2CFF0A2B-55AF-A649-AB1D-E425B5E9FEEB}"/>
  <bookViews>
    <workbookView xWindow="-4020" yWindow="-21000" windowWidth="38400" windowHeight="21000" xr2:uid="{00000000-000D-0000-FFFF-FFFF00000000}"/>
  </bookViews>
  <sheets>
    <sheet name="all_pairs" sheetId="1" r:id="rId1"/>
    <sheet name="col_legend" sheetId="6" r:id="rId2"/>
    <sheet name="List A" sheetId="2" r:id="rId3"/>
    <sheet name="List B" sheetId="3" r:id="rId4"/>
    <sheet name="List C" sheetId="4" r:id="rId5"/>
    <sheet name="List D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2" i="1" l="1"/>
  <c r="B261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<sst xmlns="http://schemas.openxmlformats.org/spreadsheetml/2006/main" count="6572" uniqueCount="782">
  <si>
    <t>stim_id</t>
  </si>
  <si>
    <t>cue_en</t>
  </si>
  <si>
    <t>target_en</t>
  </si>
  <si>
    <t>condition</t>
  </si>
  <si>
    <t>route_cue_zh</t>
  </si>
  <si>
    <t>route_target_zh</t>
  </si>
  <si>
    <t>str_en</t>
  </si>
  <si>
    <t>str_zh, alignment weighted</t>
  </si>
  <si>
    <t>str_zh</t>
  </si>
  <si>
    <t>rw_en</t>
  </si>
  <si>
    <t>rw_zh, alignment weighted</t>
  </si>
  <si>
    <t>cnt_en</t>
  </si>
  <si>
    <t>cnt_zh, alignment weighted</t>
  </si>
  <si>
    <t>route_cue_rcs</t>
  </si>
  <si>
    <t>route_target_rcs</t>
  </si>
  <si>
    <t>route_cue_w</t>
  </si>
  <si>
    <t>route_target_w</t>
  </si>
  <si>
    <t>route_cue_other_translations</t>
  </si>
  <si>
    <t>route_target_other_translations</t>
  </si>
  <si>
    <t>cov_distance</t>
  </si>
  <si>
    <t>cue_len</t>
  </si>
  <si>
    <t>target_len</t>
  </si>
  <si>
    <t>cue_zh</t>
  </si>
  <si>
    <t>target_zh</t>
  </si>
  <si>
    <t>cue_sim_cos_rw</t>
  </si>
  <si>
    <t>target_sim_cos_rw</t>
  </si>
  <si>
    <t>pair_sim_cos_rw</t>
  </si>
  <si>
    <t>cue_sim_cos_str</t>
  </si>
  <si>
    <t>target_sim_cos_str</t>
  </si>
  <si>
    <t>pair_sim_cos_str</t>
  </si>
  <si>
    <t>changed</t>
  </si>
  <si>
    <t>reason</t>
  </si>
  <si>
    <t>list</t>
  </si>
  <si>
    <t>animal</t>
  </si>
  <si>
    <t>cat</t>
  </si>
  <si>
    <t>M+E+</t>
  </si>
  <si>
    <t>动物</t>
  </si>
  <si>
    <t>猫</t>
  </si>
  <si>
    <t>[{'zh': '兽', 'rcs': 0.3038774132728576, 'w': 0.2910345454408785}, {'zh': '牲畜', 'rcs': 0.2842504382133484, 'w': 0.11861132141469986}]</t>
  </si>
  <si>
    <t>[]</t>
  </si>
  <si>
    <t>C</t>
  </si>
  <si>
    <t>world</t>
  </si>
  <si>
    <t>M+E-</t>
  </si>
  <si>
    <t>世界</t>
  </si>
  <si>
    <t>D</t>
  </si>
  <si>
    <t>kingdom</t>
  </si>
  <si>
    <t>M-E+</t>
  </si>
  <si>
    <t>王国</t>
  </si>
  <si>
    <t>A</t>
  </si>
  <si>
    <t>award</t>
  </si>
  <si>
    <t>trophy</t>
  </si>
  <si>
    <t>奖</t>
  </si>
  <si>
    <t>奖杯</t>
  </si>
  <si>
    <t>[{'zh': '奖状', 'rcs': 0.2945268452167511, 'w': 0.4758864219094916}, {'zh': '奖学金', 'rcs': 0.2771758139133453, 'w': 0.1341402113237985}, {'zh': '奖励', 'rcs': 0.2158609181642532, 'w': 0.10594170804027137}, {'zh': '奖金', 'rcs': 0.2081794291734695, 'w': 0.07278762659723526}]</t>
  </si>
  <si>
    <t>奖状</t>
  </si>
  <si>
    <t>pupil</t>
  </si>
  <si>
    <t>奖学金</t>
  </si>
  <si>
    <t>学生</t>
  </si>
  <si>
    <t>[{'zh': '奖状', 'rcs': 0.2945268452167511, 'w': 0.4758864219094916}, {'zh': '奖', 'rcs': 0.3378996849060058, 'w': 0.2112440321292032}, {'zh': '奖励', 'rcs': 0.2158609181642532, 'w': 0.10594170804027137}, {'zh': '奖金', 'rcs': 0.2081794291734695, 'w': 0.07278762659723526}]</t>
  </si>
  <si>
    <t>ribbon</t>
  </si>
  <si>
    <t>丝带</t>
  </si>
  <si>
    <t>B</t>
  </si>
  <si>
    <t>barrel</t>
  </si>
  <si>
    <t>wood</t>
  </si>
  <si>
    <t>桶</t>
  </si>
  <si>
    <t>木</t>
  </si>
  <si>
    <t>[{'zh': '林地', 'rcs': 0.3142346739768982, 'w': 0.2644579592310321}, {'zh': '树林', 'rcs': 0.3620069622993469, 'w': 0.2644579592310321}, {'zh': '木头', 'rcs': 0.5249272584915161, 'w': 0.14812697031238062}, {'zh': '木材', 'rcs': 0.4958810210227966, 'w': 0.05849915199452298}]</t>
  </si>
  <si>
    <t>林地</t>
  </si>
  <si>
    <t>rice</t>
  </si>
  <si>
    <t>饭</t>
  </si>
  <si>
    <t>[{'zh': '米饭', 'rcs': 0.5950742959976196, 'w': 0.25}, {'zh': '大米', 'rcs': 0.5953600406646729, 'w': 0.25}, {'zh': '米', 'rcs': 0.2004998624324798, 'w': 0.25}]</t>
  </si>
  <si>
    <t>米饭</t>
  </si>
  <si>
    <t>y</t>
  </si>
  <si>
    <t>duplicate route</t>
  </si>
  <si>
    <t>rain</t>
  </si>
  <si>
    <t>下雨</t>
  </si>
  <si>
    <t>global uniqueness</t>
  </si>
  <si>
    <t>belt</t>
  </si>
  <si>
    <t>leather</t>
  </si>
  <si>
    <t>腰带</t>
  </si>
  <si>
    <t>皮革</t>
  </si>
  <si>
    <t>[{'zh': '带', 'rcs': 0.2452611625194549, 'w': 0.3271426424436043}, {'zh': '皮带', 'rcs': 0.4041090309619903, 'w': 0.19097368060181708}, {'zh': '带子', 'rcs': 0.2921146154403686, 'w': 0.17695295689897544}]</t>
  </si>
  <si>
    <t>带</t>
  </si>
  <si>
    <t>bloke</t>
  </si>
  <si>
    <t>皮带</t>
  </si>
  <si>
    <t>男人</t>
  </si>
  <si>
    <t>[{'zh': '带', 'rcs': 0.2452611625194549, 'w': 0.3271426424436043}, {'zh': '腰带', 'rcs': 0.4163514971733093, 'w': 0.3049307200556031}, {'zh': '带子', 'rcs': 0.2921146154403686, 'w': 0.17695295689897544}]</t>
  </si>
  <si>
    <t>[{'zh': '家伙', 'rcs': 0.4022364318370819, 'w': 0.28232908843550797}]</t>
  </si>
  <si>
    <t>loop</t>
  </si>
  <si>
    <t>圈</t>
  </si>
  <si>
    <t>bench</t>
  </si>
  <si>
    <t>park</t>
  </si>
  <si>
    <t>长椅</t>
  </si>
  <si>
    <t>公园</t>
  </si>
  <si>
    <t>[{'zh': '庭院', 'rcs': 0.3167878687381744, 'w': 0.3873178485052622}, {'zh': '停车场', 'rcs': 0.4356929063796997, 'w': 0.16419304137673238}, {'zh': '庄园', 'rcs': 0.3247393667697906, 'w': 0.06117126161274324}]</t>
  </si>
  <si>
    <t>庭院</t>
  </si>
  <si>
    <t>lover</t>
  </si>
  <si>
    <t>情侣</t>
  </si>
  <si>
    <t>[{'zh': '情人', 'rcs': 0.4167958498001098, 'w': 0.3875361571585559}, {'zh': '爱人', 'rcs': 0.4504662752151489, 'w': 0.22492768568288826}]</t>
  </si>
  <si>
    <t>情人</t>
  </si>
  <si>
    <t>press</t>
  </si>
  <si>
    <t>评论</t>
  </si>
  <si>
    <t>?</t>
  </si>
  <si>
    <t>synonym in en</t>
  </si>
  <si>
    <t>blast</t>
  </si>
  <si>
    <t>bomb</t>
  </si>
  <si>
    <t>爆炸</t>
  </si>
  <si>
    <t>炸弹</t>
  </si>
  <si>
    <t>[{'zh': '响声', 'rcs': 0.3306280076503753, 'w': 0.23598869700517877}]</t>
  </si>
  <si>
    <t>[{'zh': '核弹', 'rcs': 0.368561178445816, 'w': 0.3333333333333333}, {'zh': '轰炸', 'rcs': 0.3353384733200073, 'w': 0.3333333333333333}]</t>
  </si>
  <si>
    <t>核弹</t>
  </si>
  <si>
    <t>voice</t>
  </si>
  <si>
    <t>响声</t>
  </si>
  <si>
    <t>声音</t>
  </si>
  <si>
    <t>[{'zh': '爆炸', 'rcs': 0.4362828135490417, 'w': 0.7640113029948211}]</t>
  </si>
  <si>
    <t>party</t>
  </si>
  <si>
    <t>党派</t>
  </si>
  <si>
    <t>border</t>
  </si>
  <si>
    <t>state</t>
  </si>
  <si>
    <t>边界</t>
  </si>
  <si>
    <t>国家</t>
  </si>
  <si>
    <t>[{'zh': '边境', 'rcs': 0.4416214823722839, 'w': 0.4204810016270035}, {'zh': '边疆', 'rcs': 0.2616983354091644, 'w': 0.4204810016270035}]</t>
  </si>
  <si>
    <t>[{'zh': '规定', 'rcs': 0.2473006099462509, 'w': 0.26589196465579745}]</t>
  </si>
  <si>
    <t>边境</t>
  </si>
  <si>
    <t>soldier</t>
  </si>
  <si>
    <t>边疆</t>
  </si>
  <si>
    <t>战士</t>
  </si>
  <si>
    <t>[{'zh': '边境', 'rcs': 0.4416214823722839, 'w': 0.4204810016270035}, {'zh': '边界', 'rcs': 0.3967014253139496, 'w': 0.15903799674599292}]</t>
  </si>
  <si>
    <t>[{'zh': '兵', 'rcs': 0.3273873627185821, 'w': 0.3164267561764707}, {'zh': '军人', 'rcs': 0.4203858375549316, 'w': 0.18820543137467238}, {'zh': '士兵', 'rcs': 0.4214936792850494, 'w': 0.17894105627238624}]</t>
  </si>
  <si>
    <t>barrier</t>
  </si>
  <si>
    <t>障碍</t>
  </si>
  <si>
    <t>brick</t>
  </si>
  <si>
    <t>cement</t>
  </si>
  <si>
    <t>砖头</t>
  </si>
  <si>
    <t>水泥</t>
  </si>
  <si>
    <t>[{'zh': '积木', 'rcs': 0.2154386341571808, 'w': 0.3333333333333333}, {'zh': '砖', 'rcs': 0.5376665592193604, 'w': 0.3333333333333333}]</t>
  </si>
  <si>
    <t>积木</t>
  </si>
  <si>
    <t>toy</t>
  </si>
  <si>
    <t>玩具</t>
  </si>
  <si>
    <t>[{'zh': '砖头', 'rcs': 0.3522881269454956, 'w': 0.3333333333333333}, {'zh': '砖', 'rcs': 0.5376665592193604, 'w': 0.3333333333333333}]</t>
  </si>
  <si>
    <t>layer</t>
  </si>
  <si>
    <t>层次</t>
  </si>
  <si>
    <t>bubble</t>
  </si>
  <si>
    <t>soap</t>
  </si>
  <si>
    <t>泡沫</t>
  </si>
  <si>
    <t>肥皂</t>
  </si>
  <si>
    <t>[{'zh': '泡泡', 'rcs': 0.3187713325023651, 'w': 0.23235095813660003}, {'zh': '起泡', 'rcs': 0.3191709220409393, 'w': 0.23235095813660003}, {'zh': '气泡', 'rcs': 0.3949038386344909, 'w': 0.23235095813660003}, {'zh': '泡', 'rcs': 0.3404182195663452, 'w': 0.23235095813660003}]</t>
  </si>
  <si>
    <t>[{'zh': '香皂', 'rcs': 0.2565927505493164, 'w': 0.5}]</t>
  </si>
  <si>
    <t>泡泡</t>
  </si>
  <si>
    <t>香皂</t>
  </si>
  <si>
    <t>sugar</t>
  </si>
  <si>
    <t>糖</t>
  </si>
  <si>
    <t>[{'zh': '起泡', 'rcs': 0.3191709220409393, 'w': 0.23235095813660003}, {'zh': '气泡', 'rcs': 0.3949038386344909, 'w': 0.23235095813660003}, {'zh': '泡', 'rcs': 0.3404182195663452, 'w': 0.23235095813660003}, {'zh': '泡沫', 'rcs': 0.4069440960884094, 'w': 0.07059616745359987}]</t>
  </si>
  <si>
    <t>sphere</t>
  </si>
  <si>
    <t>领域</t>
  </si>
  <si>
    <t>button</t>
  </si>
  <si>
    <t>switch</t>
  </si>
  <si>
    <t>按钮</t>
  </si>
  <si>
    <t>开关</t>
  </si>
  <si>
    <t>[{'zh': '扣子', 'rcs': 0.3900531828403473, 'w': 0.22952285107089268}, {'zh': '按键', 'rcs': 0.4508865475654602, 'w': 0.22952285107089268}, {'zh': '纽扣', 'rcs': 0.3458504974842071, 'w': 0.22952285107089268}, {'zh': '键', 'rcs': 0.3273929059505462, 'w': 0.08190859571642929}]</t>
  </si>
  <si>
    <t>[{'zh': '转换', 'rcs': 0.3224034905433655, 'w': 0.19782583341149027}, {'zh': '转移', 'rcs': 0.2481322288513183, 'w': 0.09754687964753536}, {'zh': '交换', 'rcs': 0.2526579201221466, 'w': 0.08797401518700525}]</t>
  </si>
  <si>
    <t>扣子</t>
  </si>
  <si>
    <t>poor translation</t>
  </si>
  <si>
    <t>按键</t>
  </si>
  <si>
    <t>[{'zh': '扣子', 'rcs': 0.3900531828403473, 'w': 0.22952285107089268}, {'zh': '按钮', 'rcs': 0.4878642857074737, 'w': 0.22952285107089268}, {'zh': '纽扣', 'rcs': 0.3458504974842071, 'w': 0.22952285107089268}, {'zh': '键', 'rcs': 0.3273929059505462, 'w': 0.08190859571642929}]</t>
  </si>
  <si>
    <t>low str</t>
  </si>
  <si>
    <t>nose</t>
  </si>
  <si>
    <t>鼻</t>
  </si>
  <si>
    <t>cancer</t>
  </si>
  <si>
    <t>sickness</t>
  </si>
  <si>
    <t>癌</t>
  </si>
  <si>
    <t>疾病</t>
  </si>
  <si>
    <t>[{'zh': '癌症', 'rcs': 0.6733107566833496, 'w': 0.5}]</t>
  </si>
  <si>
    <t>[{'zh': '恶心', 'rcs': 0.4008625745773315, 'w': 0.17974843156570344}, {'zh': '呕吐', 'rcs': 0.4489710330963135, 'w': 0.1162461307620861}, {'zh': '厌恶', 'rcs': 0.2158258259296417, 'w': 0.07098864434248908}, {'zh': '悲伤', 'rcs': 0.2323462665081024, 'w': 0.06030047312504205}]</t>
  </si>
  <si>
    <t>癌症</t>
  </si>
  <si>
    <t>perish</t>
  </si>
  <si>
    <t>死亡</t>
  </si>
  <si>
    <t>[{'zh': '癌', 'rcs': 0.643173336982727, 'w': 0.5}]</t>
  </si>
  <si>
    <t>[{'zh': '丧失', 'rcs': 0.3378564715385437, 'w': 0.3900043667165838}, {'zh': '毁灭', 'rcs': 0.3822246491909027, 'w': 0.26773784416724294}]</t>
  </si>
  <si>
    <t>丧失</t>
  </si>
  <si>
    <t>research</t>
  </si>
  <si>
    <t>探索</t>
  </si>
  <si>
    <t>cannon</t>
  </si>
  <si>
    <t>weapon</t>
  </si>
  <si>
    <t>大炮</t>
  </si>
  <si>
    <t>武器</t>
  </si>
  <si>
    <t>[{'zh': '凶器', 'rcs': 0.2454517632722854, 'w': 0.5076603114202342}, {'zh': '兵器', 'rcs': 0.4094533324241638, 'w': 0.16383712565252684}, {'zh': '工具', 'rcs': 0.2591533958911896, 'w': 0.07422409669575192}]</t>
  </si>
  <si>
    <t>凶器</t>
  </si>
  <si>
    <t>airplane</t>
  </si>
  <si>
    <t>飞机</t>
  </si>
  <si>
    <t>camera</t>
  </si>
  <si>
    <t>相机</t>
  </si>
  <si>
    <t>cell</t>
  </si>
  <si>
    <t>phone</t>
  </si>
  <si>
    <t>电池</t>
  </si>
  <si>
    <t>手机</t>
  </si>
  <si>
    <t>[{'zh': '细胞', 'rcs': 0.5658032298088074, 'w': 0.6734718358099498}]</t>
  </si>
  <si>
    <t>[{'zh': '电话', 'rcs': 0.4296647608280182, 'w': 0.6689683530984972}]</t>
  </si>
  <si>
    <t>细胞</t>
  </si>
  <si>
    <t>电话</t>
  </si>
  <si>
    <t>split</t>
  </si>
  <si>
    <t>分裂</t>
  </si>
  <si>
    <t>[{'zh': '电池', 'rcs': 0.3752782046794891, 'w': 0.3265281641900501}]</t>
  </si>
  <si>
    <t>[{'zh': '分离', 'rcs': 0.2221004962921142, 'w': 0.27476371614688927}, {'zh': '分开', 'rcs': 0.2601527571678161, 'w': 0.26378487540017903}]</t>
  </si>
  <si>
    <t>jail</t>
  </si>
  <si>
    <t>监狱</t>
  </si>
  <si>
    <t>chop</t>
  </si>
  <si>
    <t>knife</t>
  </si>
  <si>
    <t>砍</t>
  </si>
  <si>
    <t>刀</t>
  </si>
  <si>
    <t>[{'zh': '劈', 'rcs': 0.3510035276412964, 'w': 0.5027185974379433}]</t>
  </si>
  <si>
    <t>[{'zh': '刀子', 'rcs': 0.5002323985099792, 'w': 0.6803694095529377}]</t>
  </si>
  <si>
    <t>劈</t>
  </si>
  <si>
    <t>刀子</t>
  </si>
  <si>
    <t>log</t>
  </si>
  <si>
    <t>木头</t>
  </si>
  <si>
    <t>[{'zh': '砍', 'rcs': 0.2859668731689453, 'w': 0.4972814025620566}]</t>
  </si>
  <si>
    <t>pork</t>
  </si>
  <si>
    <t>猪肉</t>
  </si>
  <si>
    <t>laser</t>
  </si>
  <si>
    <t>surgery</t>
  </si>
  <si>
    <t>激光</t>
  </si>
  <si>
    <t>手术</t>
  </si>
  <si>
    <t>arms</t>
  </si>
  <si>
    <t>[{'zh': '兵器', 'rcs': 0.2892235517501831, 'w': 0.4265675521178863}]</t>
  </si>
  <si>
    <t>space</t>
  </si>
  <si>
    <t>空间</t>
  </si>
  <si>
    <t>laugh</t>
  </si>
  <si>
    <t>teeth</t>
  </si>
  <si>
    <t>大笑</t>
  </si>
  <si>
    <t>牙齿</t>
  </si>
  <si>
    <t>[{'zh': '笑声', 'rcs': 0.4315326511859894, 'w': 0.3539020323843083}, {'zh': '笑', 'rcs': 0.4041086435317993, 'w': 0.25620411067862575}]</t>
  </si>
  <si>
    <t>[{'zh': '牙', 'rcs': 0.283527672290802, 'w': 0.5037098760926835}]</t>
  </si>
  <si>
    <t>牙</t>
  </si>
  <si>
    <t>笑声</t>
  </si>
  <si>
    <t>[{'zh': '大笑', 'rcs': 0.4641201496124267, 'w': 0.389893856937066}, {'zh': '笑', 'rcs': 0.4041086435317993, 'w': 0.25620411067862575}]</t>
  </si>
  <si>
    <t>belly</t>
  </si>
  <si>
    <t>肚子</t>
  </si>
  <si>
    <t>media</t>
  </si>
  <si>
    <t>news</t>
  </si>
  <si>
    <t>媒体</t>
  </si>
  <si>
    <t>新闻</t>
  </si>
  <si>
    <t>[{'zh': '传媒', 'rcs': 0.2715575098991394, 'w': 0.5}]</t>
  </si>
  <si>
    <t>[{'zh': '消息', 'rcs': 0.2309300005435943, 'w': 0.2881218429053617}]</t>
  </si>
  <si>
    <t>campus</t>
  </si>
  <si>
    <t>传媒</t>
  </si>
  <si>
    <t>大学</t>
  </si>
  <si>
    <t>[{'zh': '媒体', 'rcs': 0.3585670590400696, 'w': 0.5}]</t>
  </si>
  <si>
    <t>[{'zh': '校园', 'rcs': 0.3047914206981659, 'w': 0.8520798559841679}]</t>
  </si>
  <si>
    <t>校园</t>
  </si>
  <si>
    <t>mass</t>
  </si>
  <si>
    <t>大多数</t>
  </si>
  <si>
    <t>milk</t>
  </si>
  <si>
    <t>liquid</t>
  </si>
  <si>
    <t>牛奶</t>
  </si>
  <si>
    <t>液体</t>
  </si>
  <si>
    <t>[{'zh': '奶', 'rcs': 0.5055748224258423, 'w': 0.5}]</t>
  </si>
  <si>
    <t>mum</t>
  </si>
  <si>
    <t>奶</t>
  </si>
  <si>
    <t>妈</t>
  </si>
  <si>
    <t>[{'zh': '牛奶', 'rcs': 0.6177763938903809, 'w': 0.5}]</t>
  </si>
  <si>
    <t>[{'zh': '妈妈', 'rcs': 0.4451901316642761, 'w': 0.41567056225558385}]</t>
  </si>
  <si>
    <t>baby</t>
  </si>
  <si>
    <t>小孩</t>
  </si>
  <si>
    <t>monkey</t>
  </si>
  <si>
    <t>banana</t>
  </si>
  <si>
    <t>猴子</t>
  </si>
  <si>
    <t>香蕉</t>
  </si>
  <si>
    <t>[{'zh': '猴', 'rcs': 0.4219879508018493, 'w': 0.39438882057389607}, {'zh': '捣蛋鬼', 'rcs': 0.3786680400371551, 'w': 0.21122235885220783}]</t>
  </si>
  <si>
    <t>person</t>
  </si>
  <si>
    <t>人</t>
  </si>
  <si>
    <t>wrench</t>
  </si>
  <si>
    <t>扳手</t>
  </si>
  <si>
    <t>motion</t>
  </si>
  <si>
    <t>movement</t>
  </si>
  <si>
    <t>动</t>
  </si>
  <si>
    <t>运动</t>
  </si>
  <si>
    <t>[{'zh': '动作', 'rcs': 0.2580753862857818, 'w': 0.4110391564354223}, {'zh': '移动', 'rcs': 0.2366111874580383, 'w': 0.17792168712915535}]</t>
  </si>
  <si>
    <t>[{'zh': '进步', 'rcs': 0.2919689416885376, 'w': 0.5951737585287443}]</t>
  </si>
  <si>
    <t>动作</t>
  </si>
  <si>
    <t>进步</t>
  </si>
  <si>
    <t>movie</t>
  </si>
  <si>
    <t>电影</t>
  </si>
  <si>
    <t>[{'zh': '动', 'rcs': 0.2037381082773208, 'w': 0.4110391564354223}, {'zh': '移动', 'rcs': 0.2366111874580383, 'w': 0.17792168712915535}]</t>
  </si>
  <si>
    <t>picture</t>
  </si>
  <si>
    <t>图像</t>
  </si>
  <si>
    <t>nail</t>
  </si>
  <si>
    <t>metal</t>
  </si>
  <si>
    <t>钉</t>
  </si>
  <si>
    <t>金属</t>
  </si>
  <si>
    <t>[{'zh': '指甲', 'rcs': 0.4805534183979034, 'w': 0.41144787488859724}, {'zh': '钉子', 'rcs': 0.4445976316928863, 'w': 0.17710425022280543}]</t>
  </si>
  <si>
    <t>oil</t>
  </si>
  <si>
    <t>指甲</t>
  </si>
  <si>
    <t>油</t>
  </si>
  <si>
    <t>[{'zh': '钉', 'rcs': 0.494232714176178, 'w': 0.41144787488859724}, {'zh': '钉子', 'rcs': 0.4445976316928863, 'w': 0.17710425022280543}]</t>
  </si>
  <si>
    <t>[{'zh': '石油', 'rcs': 0.476806104183197, 'w': 0.19163481615261352}]</t>
  </si>
  <si>
    <t>bed</t>
  </si>
  <si>
    <t>底层</t>
  </si>
  <si>
    <t>navy</t>
  </si>
  <si>
    <t>blue</t>
  </si>
  <si>
    <t>海军</t>
  </si>
  <si>
    <t>蓝色</t>
  </si>
  <si>
    <t>[{'zh': '蓝', 'rcs': 0.3567917346954345, 'w': 0.5}]</t>
  </si>
  <si>
    <t>white</t>
  </si>
  <si>
    <t>白色</t>
  </si>
  <si>
    <t>[{'zh': '白', 'rcs': 0.2417072206735611, 'w': 0.25}, {'zh': '雪白', 'rcs': 0.4313930571079254, 'w': 0.25}, {'zh': '白色的', 'rcs': 0.4358446896076202, 'w': 0.25}]</t>
  </si>
  <si>
    <t>白</t>
  </si>
  <si>
    <t>bean</t>
  </si>
  <si>
    <t>豆豆</t>
  </si>
  <si>
    <t>nerve</t>
  </si>
  <si>
    <t>brain</t>
  </si>
  <si>
    <t>神经</t>
  </si>
  <si>
    <t>大脑</t>
  </si>
  <si>
    <t>[{'zh': '脑', 'rcs': 0.4921719133853912, 'w': 0.47670489913630926}, {'zh': '智力', 'rcs': 0.3047632277011871, 'w': 0.13243978150903857}]</t>
  </si>
  <si>
    <t>脑</t>
  </si>
  <si>
    <t>network</t>
  </si>
  <si>
    <t>网络</t>
  </si>
  <si>
    <t>high en rw</t>
  </si>
  <si>
    <t>steel</t>
  </si>
  <si>
    <t>钢</t>
  </si>
  <si>
    <t>pier</t>
  </si>
  <si>
    <t>boat</t>
  </si>
  <si>
    <t>码头</t>
  </si>
  <si>
    <t>船</t>
  </si>
  <si>
    <t>[{'zh': '小船', 'rcs': 0.533439040184021, 'w': 0.6647207355631239}]</t>
  </si>
  <si>
    <t>小船</t>
  </si>
  <si>
    <t>worker</t>
  </si>
  <si>
    <t>工人</t>
  </si>
  <si>
    <t>[{'zh': '雇员', 'rcs': 0.3635508120059967, 'w': 0.24003656820420624}, {'zh': '员工', 'rcs': 0.4414107203483581, 'w': 0.23406585525535825}, {'zh': '人员', 'rcs': 0.2698992788791656, 'w': 0.09547470990835677}]</t>
  </si>
  <si>
    <t>plant</t>
  </si>
  <si>
    <t>seed</t>
  </si>
  <si>
    <t>播种</t>
  </si>
  <si>
    <t>种子</t>
  </si>
  <si>
    <t>[{'zh': '设备', 'rcs': 0.2381909489631652, 'w': 0.4180537806850469}, {'zh': '植物', 'rcs': 0.4080849587917328, 'w': 0.1669940977749877}, {'zh': '种植', 'rcs': 0.3710850477218628, 'w': 0.1275964458819257}, {'zh': '工厂', 'rcs': 0.2790567874908447, 'w': 0.08642930388166525}]</t>
  </si>
  <si>
    <t>[{'zh': '籽', 'rcs': 0.4173360764980316, 'w': 0.434921139194548}, {'zh': '繁殖', 'rcs': 0.2529305219650268, 'w': 0.06821957904804797}, {'zh': '精液', 'rcs': 0.2777043282985687, 'w': 0.06193814256285602}]</t>
  </si>
  <si>
    <t>设备</t>
  </si>
  <si>
    <t>籽</t>
  </si>
  <si>
    <t>工厂</t>
  </si>
  <si>
    <t>[{'zh': '设备', 'rcs': 0.2381909489631652, 'w': 0.4180537806850469}, {'zh': '播种', 'rcs': 0.3342699110507965, 'w': 0.20092637177637448}, {'zh': '植物', 'rcs': 0.4080849587917328, 'w': 0.1669940977749877}, {'zh': '种植', 'rcs': 0.3710850477218628, 'w': 0.1275964458819257}]</t>
  </si>
  <si>
    <t>pot</t>
  </si>
  <si>
    <t>锅</t>
  </si>
  <si>
    <t>post</t>
  </si>
  <si>
    <t>stamp</t>
  </si>
  <si>
    <t>邮政</t>
  </si>
  <si>
    <t>邮票</t>
  </si>
  <si>
    <t>[{'zh': '贴', 'rcs': 0.2576663494110107, 'w': 0.4554713490238911}, {'zh': '戳', 'rcs': 0.2337913513183593, 'w': 0.08905730195221785}]</t>
  </si>
  <si>
    <t>贴</t>
  </si>
  <si>
    <t>slow</t>
  </si>
  <si>
    <t>慢</t>
  </si>
  <si>
    <t>pole</t>
  </si>
  <si>
    <t>杆</t>
  </si>
  <si>
    <t>prick</t>
  </si>
  <si>
    <t>needle</t>
  </si>
  <si>
    <t>刺痛</t>
  </si>
  <si>
    <t>针</t>
  </si>
  <si>
    <t>[{'zh': '戳', 'rcs': 0.2868856191635132, 'w': 0.15544444387061235}, {'zh': '刺', 'rcs': 0.2932660281658172, 'w': 0.14275065848627358}]</t>
  </si>
  <si>
    <t>[{'zh': '针头', 'rcs': 0.5342175364494324, 'w': 0.43671563189910584}, {'zh': '指针', 'rcs': 0.2426190823316574, 'w': 0.1265687362017882}]</t>
  </si>
  <si>
    <t>skin</t>
  </si>
  <si>
    <t>皮肤</t>
  </si>
  <si>
    <t>[{'zh': '壳', 'rcs': 0.3820466101169586, 'w': 0.1817293657600022}, {'zh': '剥皮', 'rcs': 0.3006784617900848, 'w': 0.17885542186769768}, {'zh': '毛皮', 'rcs': 0.363589197397232, 'w': 0.16048884487323642}]</t>
  </si>
  <si>
    <t>pin</t>
  </si>
  <si>
    <t>旗杆</t>
  </si>
  <si>
    <t>prince</t>
  </si>
  <si>
    <t>queen</t>
  </si>
  <si>
    <t>国王</t>
  </si>
  <si>
    <t>王后</t>
  </si>
  <si>
    <t>[{'zh': '王子', 'rcs': 0.2860147953033447, 'w': 0.6380337896361722}, {'zh': '贵族', 'rcs': 0.3622331321239471, 'w': 0.06394705671830593}]</t>
  </si>
  <si>
    <t>[{'zh': '女王', 'rcs': 0.3969371914863586, 'w': 0.3333333333333333}, {'zh': '皇后', 'rcs': 0.3590055704116821, 'w': 0.3333333333333333}]</t>
  </si>
  <si>
    <t>王子</t>
  </si>
  <si>
    <t>singer</t>
  </si>
  <si>
    <t>歌手</t>
  </si>
  <si>
    <t>racket</t>
  </si>
  <si>
    <t>tennis</t>
  </si>
  <si>
    <t>球拍</t>
  </si>
  <si>
    <t>网球</t>
  </si>
  <si>
    <t>noise</t>
  </si>
  <si>
    <t>干扰</t>
  </si>
  <si>
    <t>riding</t>
  </si>
  <si>
    <t>saddle</t>
  </si>
  <si>
    <t>骑马</t>
  </si>
  <si>
    <t>马鞍</t>
  </si>
  <si>
    <t>quick</t>
  </si>
  <si>
    <t>快</t>
  </si>
  <si>
    <t>train</t>
  </si>
  <si>
    <t>火车</t>
  </si>
  <si>
    <t>rise</t>
  </si>
  <si>
    <t>lift</t>
  </si>
  <si>
    <t>上升</t>
  </si>
  <si>
    <t>电梯</t>
  </si>
  <si>
    <t>[{'zh': '增长', 'rcs': 0.2891542613506317, 'w': 0.17070472211336812}]</t>
  </si>
  <si>
    <t>[{'zh': '移动', 'rcs': 0.3695006072521209, 'w': 0.24416924500773757}]</t>
  </si>
  <si>
    <t>[{'zh': '空隙', 'rcs': 0.2548846900463104, 'w': 0.42364316696716553}, {'zh': '空格', 'rcs': 0.2406511604785919, 'w': 0.15271366606566908}]</t>
  </si>
  <si>
    <t>bread</t>
  </si>
  <si>
    <t>面包</t>
  </si>
  <si>
    <t>rough</t>
  </si>
  <si>
    <t>surface</t>
  </si>
  <si>
    <t>粗糙</t>
  </si>
  <si>
    <t>表面</t>
  </si>
  <si>
    <t>[{'zh': '粗', 'rcs': 0.2246107459068298, 'w': 0.347453464119419}]</t>
  </si>
  <si>
    <t>[{'zh': '地面', 'rcs': 0.3728223741054535, 'w': 0.27485648871479795}, {'zh': '水面', 'rcs': 0.3617261946201324, 'w': 0.254205665778606}]</t>
  </si>
  <si>
    <t>thin</t>
  </si>
  <si>
    <t>粗</t>
  </si>
  <si>
    <t>细</t>
  </si>
  <si>
    <t>[{'zh': '粗糙', 'rcs': 0.2128840833902359, 'w': 0.6525465358805811}]</t>
  </si>
  <si>
    <t>[{'zh': '薄', 'rcs': 0.4066925942897796, 'w': 0.5}]</t>
  </si>
  <si>
    <t>薄</t>
  </si>
  <si>
    <t>tough</t>
  </si>
  <si>
    <t>难</t>
  </si>
  <si>
    <t>sack</t>
  </si>
  <si>
    <t>pack</t>
  </si>
  <si>
    <t>袋子</t>
  </si>
  <si>
    <t>装</t>
  </si>
  <si>
    <t>plastic</t>
  </si>
  <si>
    <t>塑料袋</t>
  </si>
  <si>
    <t>[{'zh': '塑料', 'rcs': 0.5795463919639587, 'w': 0.6063872741703015}]</t>
  </si>
  <si>
    <t>塑料</t>
  </si>
  <si>
    <t>potato</t>
  </si>
  <si>
    <t>马铃薯</t>
  </si>
  <si>
    <t>salute</t>
  </si>
  <si>
    <t>military</t>
  </si>
  <si>
    <t>敬礼</t>
  </si>
  <si>
    <t>军人</t>
  </si>
  <si>
    <t>[{'zh': '致敬', 'rcs': 0.3040205538272857, 'w': 0.26999046499469515}, {'zh': '致意', 'rcs': 0.272709310054779, 'w': 0.1853549058641541}]</t>
  </si>
  <si>
    <t>[{'zh': '军事', 'rcs': 0.4116553962230682, 'w': 0.5755468789631837}, {'zh': '军队', 'rcs': 0.4304167330265045, 'w': 0.19123206161084616}]</t>
  </si>
  <si>
    <t>军事</t>
  </si>
  <si>
    <t>martyr</t>
  </si>
  <si>
    <t>致敬</t>
  </si>
  <si>
    <t>烈士</t>
  </si>
  <si>
    <t>[{'zh': '敬礼', 'rcs': 0.3540296554565429, 'w': 0.5446546291411507}, {'zh': '致意', 'rcs': 0.272709310054779, 'w': 0.1853549058641541}]</t>
  </si>
  <si>
    <t>parade</t>
  </si>
  <si>
    <t>展览</t>
  </si>
  <si>
    <t>scream</t>
  </si>
  <si>
    <t>yell</t>
  </si>
  <si>
    <t>尖叫</t>
  </si>
  <si>
    <t>呐喊</t>
  </si>
  <si>
    <t>[{'zh': '喊叫', 'rcs': 0.4403048455715179, 'w': 0.22782320362578054}, {'zh': '欢呼', 'rcs': 0.3175866305828094, 'w': 0.18876978998664773}, {'zh': '叫嚷', 'rcs': 0.393348753452301, 'w': 0.14440030688877328}]</t>
  </si>
  <si>
    <t>lady</t>
  </si>
  <si>
    <t>女生</t>
  </si>
  <si>
    <t>[{'zh': '女', 'rcs': 0.3753880858421325, 'w': 0.22617785022206596}, {'zh': '淑女', 'rcs': 0.3811275660991668, 'w': 0.22617785022206596}, {'zh': '女子', 'rcs': 0.2242671996355056, 'w': 0.22617785022206596}, {'zh': '女人', 'rcs': 0.3171866238117218, 'w': 0.09528859911173618}]</t>
  </si>
  <si>
    <t>女</t>
  </si>
  <si>
    <t>pain</t>
  </si>
  <si>
    <t>伤痛</t>
  </si>
  <si>
    <t>seal</t>
  </si>
  <si>
    <t>letter</t>
  </si>
  <si>
    <t>密封</t>
  </si>
  <si>
    <t>信件</t>
  </si>
  <si>
    <t>[{'zh': '海豹', 'rcs': 0.2252060621976852, 'w': 0.5}]</t>
  </si>
  <si>
    <t>[{'zh': '书信', 'rcs': 0.4381456077098846, 'w': 0.601016682430027}]</t>
  </si>
  <si>
    <t>海豹</t>
  </si>
  <si>
    <t>书信</t>
  </si>
  <si>
    <t>jar</t>
  </si>
  <si>
    <t>罐子</t>
  </si>
  <si>
    <t>[{'zh': '缸', 'rcs': 0.3032687902450561, 'w': 0.28422651929244713}, {'zh': '坛子', 'rcs': 0.3367401957511902, 'w': 0.28422651929244713}, {'zh': '罐头', 'rcs': 0.4481330215930938, 'w': 0.0989784531646106}, {'zh': '罐', 'rcs': 0.4865182042121887, 'w': 0.04834198895804806}]</t>
  </si>
  <si>
    <t>缸</t>
  </si>
  <si>
    <t>kiss</t>
  </si>
  <si>
    <t>接吻</t>
  </si>
  <si>
    <t>sewer</t>
  </si>
  <si>
    <t>rat</t>
  </si>
  <si>
    <t>下水道</t>
  </si>
  <si>
    <t>老鼠</t>
  </si>
  <si>
    <t>[{'zh': '鼠', 'rcs': 0.4795914888381958, 'w': 0.49451712452432905}]</t>
  </si>
  <si>
    <t>mermaid</t>
  </si>
  <si>
    <t>美人鱼</t>
  </si>
  <si>
    <t>stink</t>
  </si>
  <si>
    <t>吵闹</t>
  </si>
  <si>
    <t>sharp</t>
  </si>
  <si>
    <t>锋利</t>
  </si>
  <si>
    <t>[{'zh': '尖', 'rcs': 0.2377199679613113, 'w': 0.36176915618324945}]</t>
  </si>
  <si>
    <t>screech</t>
  </si>
  <si>
    <t>尖</t>
  </si>
  <si>
    <t>[{'zh': '锋利', 'rcs': 0.3983169496059418, 'w': 0.6382308438167505}]</t>
  </si>
  <si>
    <t>point</t>
  </si>
  <si>
    <t>指向</t>
  </si>
  <si>
    <t>sheet</t>
  </si>
  <si>
    <t>pillow</t>
  </si>
  <si>
    <t>床单</t>
  </si>
  <si>
    <t>枕头</t>
  </si>
  <si>
    <t>[{'zh': '纸张', 'rcs': 0.4602515995502472, 'w': 0.33851730911067296}]</t>
  </si>
  <si>
    <t>pen</t>
  </si>
  <si>
    <t>纸张</t>
  </si>
  <si>
    <t>笔</t>
  </si>
  <si>
    <t>[{'zh': '床单', 'rcs': 0.279130756855011, 'w': 0.661482690889327}]</t>
  </si>
  <si>
    <t>[{'zh': '钢笔', 'rcs': 0.2198588103055954, 'w': 0.5}]</t>
  </si>
  <si>
    <t>钢笔</t>
  </si>
  <si>
    <t>sail</t>
  </si>
  <si>
    <t>航行</t>
  </si>
  <si>
    <t>site</t>
  </si>
  <si>
    <t>area</t>
  </si>
  <si>
    <t>场所</t>
  </si>
  <si>
    <t>场地</t>
  </si>
  <si>
    <t>[{'zh': '地点', 'rcs': 0.3332363367080688, 'w': 0.26998882409914665}]</t>
  </si>
  <si>
    <t>[{'zh': '面积', 'rcs': 0.4091840088367462, 'w': 0.3281557120225794}, {'zh': '地域', 'rcs': 0.3876585662364959, 'w': 0.14713191289801802}, {'zh': '区', 'rcs': 0.4339649677276611, 'w': 0.11992787865294534}, {'zh': '地方', 'rcs': 0.3078873455524444, 'w': 0.07662878440387767}]</t>
  </si>
  <si>
    <t>library</t>
  </si>
  <si>
    <t>图书馆</t>
  </si>
  <si>
    <t>web</t>
  </si>
  <si>
    <t>slice</t>
  </si>
  <si>
    <t>meat</t>
  </si>
  <si>
    <t>片</t>
  </si>
  <si>
    <t>肉</t>
  </si>
  <si>
    <t>[{'zh': '锅铲', 'rcs': 0.2552796304225921, 'w': 0.6866657782216525}]</t>
  </si>
  <si>
    <t>锅铲</t>
  </si>
  <si>
    <t>snow</t>
  </si>
  <si>
    <t>雪花</t>
  </si>
  <si>
    <t>[{'zh': '下雪', 'rcs': 0.259146898984909, 'w': 0.5}]</t>
  </si>
  <si>
    <t>下雪</t>
  </si>
  <si>
    <t>orange</t>
  </si>
  <si>
    <t>橙汁</t>
  </si>
  <si>
    <t>smooth</t>
  </si>
  <si>
    <t>光滑</t>
  </si>
  <si>
    <t>plane</t>
  </si>
  <si>
    <t>平面</t>
  </si>
  <si>
    <t>[{'zh': '滑翔', 'rcs': 0.3761391341686249, 'w': 0.44945360527190037}, {'zh': '飞机', 'rcs': 0.4154236614704132, 'w': 0.10109278945619923}]</t>
  </si>
  <si>
    <t>滑翔</t>
  </si>
  <si>
    <t>sailing</t>
  </si>
  <si>
    <t>航班</t>
  </si>
  <si>
    <t>soft</t>
  </si>
  <si>
    <t>柔软</t>
  </si>
  <si>
    <t>床</t>
  </si>
  <si>
    <t>[{'zh': '软', 'rcs': 0.4027330577373504, 'w': 0.43019133098298074}, {'zh': '小的', 'rcs': 0.2205965369939804, 'w': 0.13961733803403859}]</t>
  </si>
  <si>
    <t>[{'zh': '底层', 'rcs': 0.200316846370697, 'w': 0.5}]</t>
  </si>
  <si>
    <t>软</t>
  </si>
  <si>
    <t>[{'zh': '柔软', 'rcs': 0.3980827033519745, 'w': 0.43019133098298074}, {'zh': '小的', 'rcs': 0.2205965369939804, 'w': 0.13961733803403859}]</t>
  </si>
  <si>
    <t>ball</t>
  </si>
  <si>
    <t>球</t>
  </si>
  <si>
    <t>spin</t>
  </si>
  <si>
    <t>wheel</t>
  </si>
  <si>
    <t>转动</t>
  </si>
  <si>
    <t>轮子</t>
  </si>
  <si>
    <t>[{'zh': '旋转', 'rcs': 0.2885651886463165, 'w': 0.5236766046364622}]</t>
  </si>
  <si>
    <t>[{'zh': '车轮', 'rcs': 0.547667920589447, 'w': 0.23955173710622196}, {'zh': '方向盘', 'rcs': 0.4993504583835602, 'w': 0.23955173710622196}, {'zh': '轮', 'rcs': 0.3787873983383178, 'w': 0.23955173710622196}, {'zh': '轮椅', 'rcs': 0.3203202188014984, 'w': 0.041793051575112115}]</t>
  </si>
  <si>
    <t>旋转</t>
  </si>
  <si>
    <t>车轮</t>
  </si>
  <si>
    <t>leap</t>
  </si>
  <si>
    <t>跳跃</t>
  </si>
  <si>
    <t>[{'zh': '转动', 'rcs': 0.2905631363391876, 'w': 0.4763233953635378}]</t>
  </si>
  <si>
    <t>round</t>
  </si>
  <si>
    <t>回合</t>
  </si>
  <si>
    <t>sports</t>
  </si>
  <si>
    <t>running</t>
  </si>
  <si>
    <t>跑步</t>
  </si>
  <si>
    <t>[{'zh': '体育', 'rcs': 0.4324929714202881, 'w': 0.7835245430329306}]</t>
  </si>
  <si>
    <t>[{'zh': '跑', 'rcs': 0.2226924896240234, 'w': 0.6382331357135055}]</t>
  </si>
  <si>
    <t>体育</t>
  </si>
  <si>
    <t>跑</t>
  </si>
  <si>
    <t>teacher</t>
  </si>
  <si>
    <t>老师</t>
  </si>
  <si>
    <t>[{'zh': '运动', 'rcs': 0.2600416839122772, 'w': 0.21647545696706927}]</t>
  </si>
  <si>
    <t>[{'zh': '教师', 'rcs': 0.5814129710197449, 'w': 0.27992430342702346}, {'zh': '先生', 'rcs': 0.3092143535614013, 'w': 0.20611599535842348}]</t>
  </si>
  <si>
    <t>team</t>
  </si>
  <si>
    <t>队伍</t>
  </si>
  <si>
    <t>spray</t>
  </si>
  <si>
    <t>bottle</t>
  </si>
  <si>
    <t>喷雾</t>
  </si>
  <si>
    <t>瓶子</t>
  </si>
  <si>
    <t>[{'zh': '奶瓶', 'rcs': 0.5026694536209106, 'w': 0.45640985357178115}, {'zh': '酒', 'rcs': 0.38345867395401, 'w': 0.08718029285643766}]</t>
  </si>
  <si>
    <t>alcohol</t>
  </si>
  <si>
    <t>酒精</t>
  </si>
  <si>
    <t>[{'zh': '酒', 'rcs': 0.2689618468284607, 'w': 0.1514925831382802}]</t>
  </si>
  <si>
    <t>ocean</t>
  </si>
  <si>
    <t>海洋</t>
  </si>
  <si>
    <t>string</t>
  </si>
  <si>
    <t>violin</t>
  </si>
  <si>
    <t>弦</t>
  </si>
  <si>
    <t>小提琴</t>
  </si>
  <si>
    <t>[{'zh': '绳子', 'rcs': 0.3045003116130829, 'w': 0.41977453550667027}]</t>
  </si>
  <si>
    <t>serpent</t>
  </si>
  <si>
    <t>绳子</t>
  </si>
  <si>
    <t>蛇</t>
  </si>
  <si>
    <t>[{'zh': '弦', 'rcs': 0.4187423884868622, 'w': 0.5802254644933297}]</t>
  </si>
  <si>
    <t>uncommon word</t>
  </si>
  <si>
    <t>thread</t>
  </si>
  <si>
    <t>穿</t>
  </si>
  <si>
    <t>subway</t>
  </si>
  <si>
    <t>地铁</t>
  </si>
  <si>
    <t>[{'zh': '列车', 'rcs': 0.3996173441410064, 'w': 0.5}]</t>
  </si>
  <si>
    <t>squeeze</t>
  </si>
  <si>
    <t>挤</t>
  </si>
  <si>
    <t>[{'zh': '捏', 'rcs': 0.3188902139663696, 'w': 0.3434488904341609}, {'zh': '挤压', 'rcs': 0.2590376138687134, 'w': 0.2792816473521119}]</t>
  </si>
  <si>
    <t>below</t>
  </si>
  <si>
    <t>下面</t>
  </si>
  <si>
    <t>swamp</t>
  </si>
  <si>
    <t>wet</t>
  </si>
  <si>
    <t>淹没</t>
  </si>
  <si>
    <t>水</t>
  </si>
  <si>
    <t>[{'zh': '沼泽', 'rcs': 0.4666385054588318, 'w': 0.3923155171236762}]</t>
  </si>
  <si>
    <t>[{'zh': '湿', 'rcs': 0.4603066146373749, 'w': 0.25993643248032516}, {'zh': '湿的', 'rcs': 0.4789307117462158, 'w': 0.25993643248032516}, {'zh': '潮湿', 'rcs': 0.4323588013648987, 'w': 0.25993643248032516}, {'zh': '液体', 'rcs': 0.3145627677440643, 'w': 0.07804916587005213}]</t>
  </si>
  <si>
    <t>湿</t>
  </si>
  <si>
    <t>swim</t>
  </si>
  <si>
    <t>游泳</t>
  </si>
  <si>
    <t>muck</t>
  </si>
  <si>
    <t>打扫</t>
  </si>
  <si>
    <t>tent</t>
  </si>
  <si>
    <t>camp</t>
  </si>
  <si>
    <t>帐篷</t>
  </si>
  <si>
    <t>野营</t>
  </si>
  <si>
    <t>[{'zh': '营地', 'rcs': 0.4515192210674286, 'w': 0.5}]</t>
  </si>
  <si>
    <t>trip</t>
  </si>
  <si>
    <t>旅行</t>
  </si>
  <si>
    <t>[{'zh': '旅程', 'rcs': 0.2326556891202926, 'w': 0.40943257469127614}]</t>
  </si>
  <si>
    <t>canvas</t>
  </si>
  <si>
    <t>油画</t>
  </si>
  <si>
    <t>thick</t>
  </si>
  <si>
    <t>厚</t>
  </si>
  <si>
    <t>[{'zh': '细', 'rcs': 0.2999193370342254, 'w': 0.5}]</t>
  </si>
  <si>
    <t>warm</t>
  </si>
  <si>
    <t>暖和</t>
  </si>
  <si>
    <t>[{'zh': '温暖', 'rcs': 0.3686213195323944, 'w': 0.45700908514453725}]</t>
  </si>
  <si>
    <t>broad</t>
  </si>
  <si>
    <t>宽广</t>
  </si>
  <si>
    <t>tribe</t>
  </si>
  <si>
    <t>clan</t>
  </si>
  <si>
    <t>族</t>
  </si>
  <si>
    <t>家族</t>
  </si>
  <si>
    <t>[{'zh': '部落', 'rcs': 0.4054463803768158, 'w': 0.5}]</t>
  </si>
  <si>
    <t>[{'zh': '帮派', 'rcs': 0.2109794467687606, 'w': 0.3333333333333333}, {'zh': '氏族', 'rcs': 0.430666834115982, 'w': 0.3333333333333333}]</t>
  </si>
  <si>
    <t>帮派</t>
  </si>
  <si>
    <t>warfare</t>
  </si>
  <si>
    <t>部落</t>
  </si>
  <si>
    <t>战争</t>
  </si>
  <si>
    <t>[{'zh': '族', 'rcs': 0.3651827275753021, 'w': 0.5}]</t>
  </si>
  <si>
    <t>[{'zh': '斗争', 'rcs': 0.2138779163360595, 'w': 0.34651687342254717}]</t>
  </si>
  <si>
    <t>quest</t>
  </si>
  <si>
    <t>寻找</t>
  </si>
  <si>
    <t>trunk</t>
  </si>
  <si>
    <t>tree</t>
  </si>
  <si>
    <t>树桩</t>
  </si>
  <si>
    <t>大树</t>
  </si>
  <si>
    <t>[{'zh': '树干', 'rcs': 0.4448303580284118, 'w': 0.7171808167341409}]</t>
  </si>
  <si>
    <t>[{'zh': '树', 'rcs': 0.3510806560516357, 'w': 0.3894569459129817}, {'zh': '树木', 'rcs': 0.4441355466842651, 'w': 0.22108610817403662}]</t>
  </si>
  <si>
    <t>树干</t>
  </si>
  <si>
    <t>bunny</t>
  </si>
  <si>
    <t>兔子</t>
  </si>
  <si>
    <t>suitcase</t>
  </si>
  <si>
    <t>行李箱</t>
  </si>
  <si>
    <t>tunnel</t>
  </si>
  <si>
    <t>隧道</t>
  </si>
  <si>
    <t>length</t>
  </si>
  <si>
    <t>长</t>
  </si>
  <si>
    <t>[{'zh': '长度', 'rcs': 0.4575222134590149, 'w': 0.640148006083392}]</t>
  </si>
  <si>
    <t>长度</t>
  </si>
  <si>
    <t>tube</t>
  </si>
  <si>
    <t>管</t>
  </si>
  <si>
    <t>twist</t>
  </si>
  <si>
    <t>lemon</t>
  </si>
  <si>
    <t>拧</t>
  </si>
  <si>
    <t>柠檬</t>
  </si>
  <si>
    <t>towel</t>
  </si>
  <si>
    <t>毛巾</t>
  </si>
  <si>
    <t>[{'zh': '纸巾', 'rcs': 0.4714272916316986, 'w': 0.29200223595986147}, {'zh': '手巾', 'rcs': 0.4699572324752807, 'w': 0.29200223595986147}, {'zh': '抹布', 'rcs': 0.4854107499122619, 'w': 0.12399329212041563}]</t>
  </si>
  <si>
    <t>纸巾</t>
  </si>
  <si>
    <t>shout</t>
  </si>
  <si>
    <t>叫</t>
  </si>
  <si>
    <t>urine</t>
  </si>
  <si>
    <t>yellow</t>
  </si>
  <si>
    <t>尿</t>
  </si>
  <si>
    <t>黄色</t>
  </si>
  <si>
    <t>[{'zh': '小便', 'rcs': 0.3024432063102722, 'w': 0.342278844307838}]</t>
  </si>
  <si>
    <t>trousers</t>
  </si>
  <si>
    <t>裤子</t>
  </si>
  <si>
    <t>[{'zh': '长裤', 'rcs': 0.5876520276069641, 'w': 0.3475618315558301}, {'zh': '裤', 'rcs': 0.5567807555198669, 'w': 0.32765016186362866}]</t>
  </si>
  <si>
    <t>长裤</t>
  </si>
  <si>
    <t>sample</t>
  </si>
  <si>
    <t>样品</t>
  </si>
  <si>
    <t>valley</t>
  </si>
  <si>
    <t>river</t>
  </si>
  <si>
    <t>流域</t>
  </si>
  <si>
    <t>河流</t>
  </si>
  <si>
    <t>[{'zh': '山谷', 'rcs': 0.5051570534706116, 'w': 0.6803544613277362}]</t>
  </si>
  <si>
    <t>[{'zh': '小溪', 'rcs': 0.4996245503425598, 'w': 0.26418839524532906}, {'zh': '河', 'rcs': 0.4457035362720489, 'w': 0.26418839524532906}, {'zh': '溪流', 'rcs': 0.4985944032669067, 'w': 0.1300043317852566}, {'zh': '溪', 'rcs': 0.4290595948696136, 'w': 0.07743048247875631}]</t>
  </si>
  <si>
    <t>山谷</t>
  </si>
  <si>
    <t>bird</t>
  </si>
  <si>
    <t>鸟</t>
  </si>
  <si>
    <t>[{'zh': '流域', 'rcs': 0.44387087225914, 'w': 0.31964553867226375}]</t>
  </si>
  <si>
    <t>[{'zh': '姑娘', 'rcs': 0.2078591585159301, 'w': 0.5}]</t>
  </si>
  <si>
    <t>shadow</t>
  </si>
  <si>
    <t>影子</t>
  </si>
  <si>
    <t>waist</t>
  </si>
  <si>
    <t>腰</t>
  </si>
  <si>
    <t>[{'zh': '腰部', 'rcs': 0.5781868696212769, 'w': 0.5}]</t>
  </si>
  <si>
    <t>acid</t>
  </si>
  <si>
    <t>酸</t>
  </si>
  <si>
    <t>band</t>
  </si>
  <si>
    <t>乐队</t>
  </si>
  <si>
    <t>waiter</t>
  </si>
  <si>
    <t>tray</t>
  </si>
  <si>
    <t>服务员</t>
  </si>
  <si>
    <t>托盘</t>
  </si>
  <si>
    <t>[{'zh': '盘', 'rcs': 0.3201288282871246, 'w': 0.36920685987704865}, {'zh': '碟', 'rcs': 0.3903550803661346, 'w': 0.26158628024590264}]</t>
  </si>
  <si>
    <t>盘</t>
  </si>
  <si>
    <t>cheers</t>
  </si>
  <si>
    <t>谢谢</t>
  </si>
  <si>
    <t>[{'zh': '再见', 'rcs': 0.3508387804031372, 'w': 0.31849418447482974}]</t>
  </si>
  <si>
    <t>table</t>
  </si>
  <si>
    <t>表</t>
  </si>
  <si>
    <t>weight</t>
  </si>
  <si>
    <t>重量</t>
  </si>
  <si>
    <t>质量</t>
  </si>
  <si>
    <t>[{'zh': '体重', 'rcs': 0.2601625919342041, 'w': 0.38632652754929114}, {'zh': '高度', 'rcs': 0.3531632423400879, 'w': 0.10823306891676099}, {'zh': '固定', 'rcs': 0.2965547740459442, 'w': 0.07704953730344298}, {'zh': '压力', 'rcs': 0.206294909119606, 'w': 0.042064338681213814}]</t>
  </si>
  <si>
    <t>[{'zh': '大多数', 'rcs': 0.2543220221996307, 'w': 0.4019633616783435}, {'zh': '多数', 'rcs': 0.2426012307405471, 'w': 0.2816329739179141}]</t>
  </si>
  <si>
    <t>体重</t>
  </si>
  <si>
    <t>[{'zh': '重量', 'rcs': 0.4664914011955261, 'w': 0.38632652754929114}, {'zh': '高度', 'rcs': 0.3531632423400879, 'w': 0.10823306891676099}, {'zh': '固定', 'rcs': 0.2965547740459442, 'w': 0.07704953730344298}, {'zh': '压力', 'rcs': 0.206294909119606, 'w': 0.042064338681213814}]</t>
  </si>
  <si>
    <t>light</t>
  </si>
  <si>
    <t>电灯</t>
  </si>
  <si>
    <t>wire</t>
  </si>
  <si>
    <t>电线</t>
  </si>
  <si>
    <t>[{'zh': '电缆', 'rcs': 0.4007912278175354, 'w': 0.3173408934969921}]</t>
  </si>
  <si>
    <t>sky</t>
  </si>
  <si>
    <t>天空</t>
  </si>
  <si>
    <t>[{'zh': '蓝天', 'rcs': 0.2938329875469208, 'w': 0.5}]</t>
  </si>
  <si>
    <t>蓝天</t>
  </si>
  <si>
    <t>red</t>
  </si>
  <si>
    <t>红的</t>
  </si>
  <si>
    <t>candle</t>
  </si>
  <si>
    <t>burning</t>
  </si>
  <si>
    <t>蜡烛</t>
  </si>
  <si>
    <t>燃烧</t>
  </si>
  <si>
    <t>[{'zh': '烧', 'rcs': 0.2890322804450989, 'w': 0.39337062217704377}, {'zh': '着火', 'rcs': 0.3375095129013061, 'w': 0.35025876882649665}]</t>
  </si>
  <si>
    <t>烧</t>
  </si>
  <si>
    <t>stick</t>
  </si>
  <si>
    <t>放置</t>
  </si>
  <si>
    <t>kidney</t>
  </si>
  <si>
    <t>liver</t>
  </si>
  <si>
    <t>肾</t>
  </si>
  <si>
    <t>肝</t>
  </si>
  <si>
    <t>[{'zh': '肝脏', 'rcs': 0.6793363690376282, 'w': 0.5}]</t>
  </si>
  <si>
    <t>apple</t>
  </si>
  <si>
    <t>苹果</t>
  </si>
  <si>
    <t>strike</t>
  </si>
  <si>
    <t>protest</t>
  </si>
  <si>
    <t>罢工</t>
  </si>
  <si>
    <t>抗议</t>
  </si>
  <si>
    <t>[{'zh': '爆发', 'rcs': 0.328266441822052, 'w': 0.36400193268675884}, {'zh': '打击', 'rcs': 0.2406797111034393, 'w': 0.10154463401805783}, {'zh': '突击', 'rcs': 0.2054139822721481, 'w': 0.09537461931110232}, {'zh': '袭击', 'rcs': 0.314850389957428, 'w': 0.07507688129732226}]</t>
  </si>
  <si>
    <t>爆发</t>
  </si>
  <si>
    <t>campaign</t>
  </si>
  <si>
    <t>baseball</t>
  </si>
  <si>
    <t>棒球</t>
  </si>
  <si>
    <t>M-E-</t>
  </si>
  <si>
    <t>针头</t>
  </si>
  <si>
    <t>河</t>
  </si>
  <si>
    <t>皇后</t>
  </si>
  <si>
    <t>营地</t>
  </si>
  <si>
    <t>蓝</t>
  </si>
  <si>
    <t>columns</t>
  </si>
  <si>
    <t>description</t>
  </si>
  <si>
    <t>id of each prime-target pair, 0-255</t>
  </si>
  <si>
    <t>prime word</t>
  </si>
  <si>
    <t>target word</t>
  </si>
  <si>
    <t>condition, one of M+E+, M+E-, M-E+, M-E-</t>
  </si>
  <si>
    <t>Chinese cue word that forms the latent association</t>
  </si>
  <si>
    <t>Chinese target word that forms the latent association</t>
  </si>
  <si>
    <t>latent Chinese association strength, weighted by translation alignment of both cue and target</t>
  </si>
  <si>
    <t>original Chinese association strength</t>
  </si>
  <si>
    <t>latent Chinese random walk similarity, weighted by translation alignment of both cue and target</t>
  </si>
  <si>
    <t>original English association strength as conditional probability</t>
  </si>
  <si>
    <t>number of respondents who gave the English pair</t>
  </si>
  <si>
    <t>number of respondents who gave the Chinese pair, weighted by translation alignment of both cue and target</t>
  </si>
  <si>
    <t>translation alignment score of the cue word between English and Chinese</t>
  </si>
  <si>
    <t>translation alignment score of the target word between English and Chinese</t>
  </si>
  <si>
    <t>cue alignment weight normalized by all plausible translations of both the English and the Chinese words</t>
  </si>
  <si>
    <t>target alignment weight normalized by all plausible translations of both the English and the Chinese words</t>
  </si>
  <si>
    <t>log of other plausible translations of the English cue, together with their rcs and weights</t>
  </si>
  <si>
    <t>log of other plausible translations of the English target, together with their rcs and weights</t>
  </si>
  <si>
    <t>standardized Euclidean distance of covariates (concreteness, frequency, length)</t>
  </si>
  <si>
    <t>original English random walk similarity, a relatedness measure that reflects global network structure but loses directionality</t>
  </si>
  <si>
    <t>length of the prime word</t>
  </si>
  <si>
    <t>length of the target word</t>
  </si>
  <si>
    <t>the cue's Chinese translation with the highest rcs</t>
  </si>
  <si>
    <t>the target's Chinese translation with the highest rcs</t>
  </si>
  <si>
    <t>cosine similarity between the English space and the Chinese space, using rw similarity with other words</t>
  </si>
  <si>
    <t>average rw cosine similarity between cue and target</t>
  </si>
  <si>
    <t>cosine similarity between the English space and the Chinese space, using association strengths with other words</t>
  </si>
  <si>
    <t>average str cosine similarity between cue and target</t>
  </si>
  <si>
    <t>Whether the target was changed during manual review. Substitute targets were selected from matched_cue_target_pairs.csv; their weighted str_zh are lower than the original targets, but all passed relatedness thresholds and covariate matching.</t>
  </si>
  <si>
    <t>reason for changing the target</t>
  </si>
  <si>
    <t>counterbalanced list id</t>
  </si>
  <si>
    <t>collocation_zh</t>
  </si>
  <si>
    <t>collocation_en</t>
  </si>
  <si>
    <t>cue_flagged</t>
  </si>
  <si>
    <t>Collocation review summary</t>
  </si>
  <si>
    <t>Total cues</t>
  </si>
  <si>
    <t>Cues flagged</t>
  </si>
  <si>
    <t>post &amp; rise can be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</si>
</sst>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2">
    <dxf>
      <fill>
        <patternFill patternType="solid">
          <fgColor rgb="FFFFD9B3"/>
          <bgColor rgb="FFFFD9B3"/>
        </patternFill>
      </fill>
    </dxf>
    <dxf>
      <fill>
        <patternFill>
          <bgColor rgb="FFFFC7CE"/>
        </patternFill>
      </fill>
    </dxf>
    <dxf>
      <fill>
        <patternFill patternType="solid">
          <fgColor rgb="FFFFD9B3"/>
          <bgColor rgb="FFFFD9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7CE"/>
        </patternFill>
      </fill>
    </dxf>
    <dxf>
      <fill>
        <patternFill patternType="solid">
          <fgColor rgb="FFFFD9B3"/>
          <bgColor rgb="FFFFD9B3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FFD9B3"/>
          <bgColor rgb="FFFFD9B3"/>
        </patternFill>
      </fill>
    </dxf>
    <dxf>
      <fill>
        <patternFill>
          <bgColor rgb="FFFFC7CE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633450</xdr:colOff>
      <xdr:row>7</xdr:row>
      <xdr:rowOff>8142</xdr:rowOff>
    </xdr:from>
    <xdr:ext cx="11746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B60C9AF-92F8-14BB-E48E-B7E509285DD0}"/>
                </a:ext>
              </a:extLst>
            </xdr:cNvPr>
            <xdr:cNvSpPr txBox="1"/>
          </xdr:nvSpPr>
          <xdr:spPr>
            <a:xfrm>
              <a:off x="5480778" y="1365394"/>
              <a:ext cx="11746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</m:t>
                    </m:r>
                    <m:d>
                      <m:d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𝑡𝑎𝑟𝑔𝑒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𝑒𝑛</m:t>
                            </m:r>
                          </m:sub>
                        </m:sSub>
                        <m:r>
                          <a:rPr lang="en-CA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|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𝑐𝑢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𝑒𝑛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CA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B60C9AF-92F8-14BB-E48E-B7E509285DD0}"/>
                </a:ext>
              </a:extLst>
            </xdr:cNvPr>
            <xdr:cNvSpPr txBox="1"/>
          </xdr:nvSpPr>
          <xdr:spPr>
            <a:xfrm>
              <a:off x="5480778" y="1365394"/>
              <a:ext cx="11746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𝑃(𝑡𝑎𝑟𝑔𝑒𝑡_𝑒𝑛 |𝑐𝑢𝑒_𝑒𝑛 )</a:t>
              </a:r>
              <a:endParaRPr lang="en-CA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4</xdr:col>
      <xdr:colOff>749784</xdr:colOff>
      <xdr:row>8</xdr:row>
      <xdr:rowOff>17837</xdr:rowOff>
    </xdr:from>
    <xdr:ext cx="4494948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CDF536A-AFD4-9124-837D-01EA236AEB9A}"/>
                </a:ext>
              </a:extLst>
            </xdr:cNvPr>
            <xdr:cNvSpPr txBox="1"/>
          </xdr:nvSpPr>
          <xdr:spPr>
            <a:xfrm>
              <a:off x="7245204" y="1568982"/>
              <a:ext cx="449494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𝑆𝑇𝑅𝑧</m:t>
                    </m:r>
                    <m:sSub>
                      <m:sSub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ℎ</m:t>
                        </m:r>
                      </m:e>
                      <m:sub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𝑤</m:t>
                        </m:r>
                      </m:sub>
                    </m:sSub>
                    <m:r>
                      <a:rPr lang="en-CA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</m:t>
                    </m:r>
                    <m:d>
                      <m:d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𝑡𝑎𝑟𝑔𝑒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𝑧ℎ</m:t>
                            </m:r>
                          </m:sub>
                        </m:sSub>
                        <m:r>
                          <a:rPr lang="en-CA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|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𝑐𝑢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𝑧ℎ</m:t>
                            </m:r>
                          </m:sub>
                        </m:sSub>
                      </m:e>
                    </m:d>
                    <m:r>
                      <a:rPr lang="en-CA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𝑊</m:t>
                    </m:r>
                    <m:d>
                      <m:d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𝑐𝑢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𝑒𝑛</m:t>
                            </m:r>
                          </m:sub>
                        </m:sSub>
                        <m:r>
                          <a:rPr lang="en-CA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𝑐𝑢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𝑧ℎ</m:t>
                            </m:r>
                          </m:sub>
                        </m:sSub>
                      </m:e>
                    </m:d>
                    <m:r>
                      <a:rPr lang="en-CA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𝑊</m:t>
                    </m:r>
                    <m:d>
                      <m:d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𝑡𝑎𝑟𝑔𝑒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𝑒𝑛</m:t>
                            </m:r>
                          </m:sub>
                        </m:sSub>
                        <m:r>
                          <a:rPr lang="en-CA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𝑡𝑎𝑟𝑔𝑒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𝑧ℎ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CA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CDF536A-AFD4-9124-837D-01EA236AEB9A}"/>
                </a:ext>
              </a:extLst>
            </xdr:cNvPr>
            <xdr:cNvSpPr txBox="1"/>
          </xdr:nvSpPr>
          <xdr:spPr>
            <a:xfrm>
              <a:off x="7245204" y="1568982"/>
              <a:ext cx="449494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𝑆𝑇𝑅𝑧ℎ_𝑤=𝑃(𝑡𝑎𝑟𝑔𝑒𝑡_𝑧ℎ |𝑐𝑢𝑒_𝑧ℎ )∗𝑊(𝑐𝑢𝑒_𝑒𝑛,𝑐𝑢𝑒_𝑧ℎ )∗𝑊(𝑡𝑎𝑟𝑔𝑒𝑡_𝑒𝑛,𝑡𝑎𝑟𝑔𝑒𝑡_𝑧ℎ )</a:t>
              </a:r>
              <a:endParaRPr lang="en-CA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BFB70-A220-7742-A104-C82532B69A95}" name="col_legend" displayName="col_legend" ref="A1:B34" totalsRowShown="0" dataDxfId="11">
  <autoFilter ref="A1:B34" xr:uid="{214BFB70-A220-7742-A104-C82532B69A95}"/>
  <tableColumns count="2">
    <tableColumn id="1" xr3:uid="{19BC19FB-B4CA-5F43-A4FD-BF2AC7E7A690}" name="columns" dataDxfId="10"/>
    <tableColumn id="2" xr3:uid="{52C1B72F-FDFD-3C42-9813-D2D0A30F0F91}" name="description" dataDxfId="9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2"/>
  <sheetViews>
    <sheetView tabSelected="1" topLeftCell="A102" zoomScale="114" workbookViewId="0">
      <selection activeCell="D103" sqref="D103"/>
    </sheetView>
  </sheetViews>
  <sheetFormatPr baseColWidth="10" defaultColWidth="8.83203125" defaultRowHeight="15" x14ac:dyDescent="0.2"/>
  <cols>
    <col min="1" max="1" width="11.1640625" customWidth="1"/>
    <col min="4" max="4" width="8.83203125" customWidth="1"/>
    <col min="9" max="9" width="12.33203125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776</v>
      </c>
      <c r="E1" t="s">
        <v>3</v>
      </c>
      <c r="F1" t="s">
        <v>4</v>
      </c>
      <c r="G1" t="s">
        <v>5</v>
      </c>
      <c r="H1" t="s">
        <v>775</v>
      </c>
      <c r="I1" s="3" t="s">
        <v>777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</row>
    <row r="2" spans="1:36" x14ac:dyDescent="0.2">
      <c r="A2">
        <v>0</v>
      </c>
      <c r="B2" t="s">
        <v>33</v>
      </c>
      <c r="C2" t="s">
        <v>34</v>
      </c>
      <c r="E2" t="s">
        <v>35</v>
      </c>
      <c r="F2" t="s">
        <v>36</v>
      </c>
      <c r="G2" t="s">
        <v>37</v>
      </c>
      <c r="I2" t="b">
        <f t="shared" ref="I2:I65" si="0">COUNTIFS($B$2:$B$257,$B2,$D$2:$D$257,"&lt;&gt;")+COUNTIFS($B$2:$B$257,$B2,$H$2:$H$257,"&lt;&gt;")&gt;0</f>
        <v>1</v>
      </c>
      <c r="J2">
        <v>0.14457830786705</v>
      </c>
      <c r="K2">
        <v>6.92139342427254E-2</v>
      </c>
      <c r="L2">
        <v>0.11724138259887699</v>
      </c>
      <c r="M2">
        <v>0.30554860830307001</v>
      </c>
      <c r="N2">
        <v>0.227522492408752</v>
      </c>
      <c r="O2">
        <v>24</v>
      </c>
      <c r="P2">
        <v>10.0360202789307</v>
      </c>
      <c r="Q2">
        <v>0.50352758169174205</v>
      </c>
      <c r="R2">
        <v>0.48802921175956698</v>
      </c>
      <c r="S2">
        <v>0.590354144573212</v>
      </c>
      <c r="T2">
        <v>1</v>
      </c>
      <c r="U2" t="s">
        <v>38</v>
      </c>
      <c r="V2" t="s">
        <v>39</v>
      </c>
      <c r="W2">
        <v>1.48827710965893</v>
      </c>
      <c r="X2">
        <v>6</v>
      </c>
      <c r="Y2">
        <v>3</v>
      </c>
      <c r="Z2" t="s">
        <v>36</v>
      </c>
      <c r="AA2" t="s">
        <v>37</v>
      </c>
      <c r="AB2">
        <v>0.84472524999999998</v>
      </c>
      <c r="AC2">
        <v>0.82852243999999997</v>
      </c>
      <c r="AD2">
        <v>0.83662384999999995</v>
      </c>
      <c r="AE2">
        <v>0.65735549999999998</v>
      </c>
      <c r="AF2">
        <v>0.70452857000000002</v>
      </c>
      <c r="AG2">
        <v>0.68094206000000002</v>
      </c>
      <c r="AJ2" t="s">
        <v>40</v>
      </c>
    </row>
    <row r="3" spans="1:36" x14ac:dyDescent="0.2">
      <c r="A3">
        <v>1</v>
      </c>
      <c r="B3" t="s">
        <v>33</v>
      </c>
      <c r="C3" t="s">
        <v>41</v>
      </c>
      <c r="E3" t="s">
        <v>42</v>
      </c>
      <c r="F3" t="s">
        <v>36</v>
      </c>
      <c r="G3" t="s">
        <v>43</v>
      </c>
      <c r="H3" t="s">
        <v>72</v>
      </c>
      <c r="I3" t="b">
        <f t="shared" si="0"/>
        <v>1</v>
      </c>
      <c r="J3">
        <v>0</v>
      </c>
      <c r="K3">
        <v>2.44284477084875E-2</v>
      </c>
      <c r="L3">
        <v>4.1379310190677601E-2</v>
      </c>
      <c r="M3">
        <v>4.0420185774564701E-2</v>
      </c>
      <c r="N3">
        <v>3.58935333788395E-2</v>
      </c>
      <c r="O3">
        <v>0</v>
      </c>
      <c r="P3">
        <v>3.54212474822998</v>
      </c>
      <c r="Q3">
        <v>0.50352758169174205</v>
      </c>
      <c r="R3">
        <v>0.24596296250820199</v>
      </c>
      <c r="S3">
        <v>0.590354144573212</v>
      </c>
      <c r="T3">
        <v>1</v>
      </c>
      <c r="U3" t="s">
        <v>38</v>
      </c>
      <c r="V3" t="s">
        <v>39</v>
      </c>
      <c r="W3">
        <v>1.35703673056859</v>
      </c>
      <c r="X3">
        <v>6</v>
      </c>
      <c r="Y3">
        <v>5</v>
      </c>
      <c r="Z3" t="s">
        <v>36</v>
      </c>
      <c r="AA3" t="s">
        <v>43</v>
      </c>
      <c r="AB3">
        <v>0.84472524999999998</v>
      </c>
      <c r="AC3">
        <v>0.75654540000000003</v>
      </c>
      <c r="AD3">
        <v>0.80063534000000003</v>
      </c>
      <c r="AE3">
        <v>0.65735549999999998</v>
      </c>
      <c r="AF3">
        <v>0.47041208000000001</v>
      </c>
      <c r="AG3">
        <v>0.56388380000000005</v>
      </c>
      <c r="AJ3" t="s">
        <v>44</v>
      </c>
    </row>
    <row r="4" spans="1:36" x14ac:dyDescent="0.2">
      <c r="A4">
        <v>2</v>
      </c>
      <c r="B4" t="s">
        <v>33</v>
      </c>
      <c r="C4" t="s">
        <v>45</v>
      </c>
      <c r="D4" t="s">
        <v>72</v>
      </c>
      <c r="E4" t="s">
        <v>46</v>
      </c>
      <c r="I4" t="b">
        <f t="shared" si="0"/>
        <v>1</v>
      </c>
      <c r="J4">
        <v>2.40963846445084E-2</v>
      </c>
      <c r="K4">
        <v>0</v>
      </c>
      <c r="M4">
        <v>0.109907358884811</v>
      </c>
      <c r="N4">
        <v>3.8786269724369098E-2</v>
      </c>
      <c r="O4">
        <v>4</v>
      </c>
      <c r="P4">
        <v>0</v>
      </c>
      <c r="W4">
        <v>1.09991191316383</v>
      </c>
      <c r="X4">
        <v>6</v>
      </c>
      <c r="Y4">
        <v>7</v>
      </c>
      <c r="Z4" t="s">
        <v>36</v>
      </c>
      <c r="AA4" t="s">
        <v>47</v>
      </c>
      <c r="AB4">
        <v>0.84472524999999998</v>
      </c>
      <c r="AC4">
        <v>0.7754183</v>
      </c>
      <c r="AD4">
        <v>0.81007176999999997</v>
      </c>
      <c r="AE4">
        <v>0.65735549999999998</v>
      </c>
      <c r="AF4">
        <v>0.27346176</v>
      </c>
      <c r="AG4">
        <v>0.46540862</v>
      </c>
      <c r="AJ4" t="s">
        <v>48</v>
      </c>
    </row>
    <row r="5" spans="1:36" x14ac:dyDescent="0.2">
      <c r="A5">
        <v>3</v>
      </c>
      <c r="B5" t="s">
        <v>49</v>
      </c>
      <c r="C5" t="s">
        <v>50</v>
      </c>
      <c r="E5" t="s">
        <v>35</v>
      </c>
      <c r="F5" t="s">
        <v>51</v>
      </c>
      <c r="G5" t="s">
        <v>52</v>
      </c>
      <c r="I5" t="b">
        <f t="shared" si="0"/>
        <v>0</v>
      </c>
      <c r="J5">
        <v>0.112676054239273</v>
      </c>
      <c r="K5">
        <v>2.8717285022139601E-2</v>
      </c>
      <c r="L5">
        <v>0.115384615957737</v>
      </c>
      <c r="M5">
        <v>0.48553237318992598</v>
      </c>
      <c r="N5">
        <v>0.29709589481353799</v>
      </c>
      <c r="O5">
        <v>24</v>
      </c>
      <c r="P5">
        <v>3.33120512962341</v>
      </c>
      <c r="Q5">
        <v>0.33789968490600603</v>
      </c>
      <c r="R5">
        <v>0.239414602518082</v>
      </c>
      <c r="S5">
        <v>0.211244031786919</v>
      </c>
      <c r="T5">
        <v>1</v>
      </c>
      <c r="U5" t="s">
        <v>53</v>
      </c>
      <c r="V5" t="s">
        <v>39</v>
      </c>
      <c r="W5">
        <v>0.90081483298117404</v>
      </c>
      <c r="X5">
        <v>5</v>
      </c>
      <c r="Y5">
        <v>6</v>
      </c>
      <c r="Z5" t="s">
        <v>54</v>
      </c>
      <c r="AA5" t="s">
        <v>52</v>
      </c>
      <c r="AB5">
        <v>0.71909500000000004</v>
      </c>
      <c r="AC5">
        <v>0.75232889999999997</v>
      </c>
      <c r="AD5">
        <v>0.73571193000000001</v>
      </c>
      <c r="AE5">
        <v>0.53721940000000001</v>
      </c>
      <c r="AF5">
        <v>0.14404661999999999</v>
      </c>
      <c r="AG5">
        <v>0.34063300000000002</v>
      </c>
      <c r="AJ5" t="s">
        <v>44</v>
      </c>
    </row>
    <row r="6" spans="1:36" x14ac:dyDescent="0.2">
      <c r="A6">
        <v>4</v>
      </c>
      <c r="B6" t="s">
        <v>49</v>
      </c>
      <c r="C6" t="s">
        <v>55</v>
      </c>
      <c r="E6" t="s">
        <v>42</v>
      </c>
      <c r="F6" t="s">
        <v>56</v>
      </c>
      <c r="G6" t="s">
        <v>57</v>
      </c>
      <c r="I6" t="b">
        <f t="shared" si="0"/>
        <v>0</v>
      </c>
      <c r="J6">
        <v>0</v>
      </c>
      <c r="K6">
        <v>1.6409877687692601E-2</v>
      </c>
      <c r="L6">
        <v>3.8461539894342402E-2</v>
      </c>
      <c r="M6">
        <v>3.4838423132896403E-2</v>
      </c>
      <c r="N6">
        <v>7.5380407273769406E-2</v>
      </c>
      <c r="O6">
        <v>0</v>
      </c>
      <c r="P6">
        <v>1.9035457372665401</v>
      </c>
      <c r="Q6">
        <v>0.277175813913345</v>
      </c>
      <c r="R6">
        <v>0.35693383216857899</v>
      </c>
      <c r="S6">
        <v>0.13414020836353299</v>
      </c>
      <c r="T6">
        <v>1</v>
      </c>
      <c r="U6" t="s">
        <v>58</v>
      </c>
      <c r="V6" t="s">
        <v>39</v>
      </c>
      <c r="W6">
        <v>0.85267570982572205</v>
      </c>
      <c r="X6">
        <v>5</v>
      </c>
      <c r="Y6">
        <v>5</v>
      </c>
      <c r="Z6" t="s">
        <v>54</v>
      </c>
      <c r="AA6" t="s">
        <v>57</v>
      </c>
      <c r="AB6">
        <v>0.71909500000000004</v>
      </c>
      <c r="AC6">
        <v>0.7207131</v>
      </c>
      <c r="AD6">
        <v>0.71990407000000001</v>
      </c>
      <c r="AE6">
        <v>0.53721940000000001</v>
      </c>
      <c r="AF6">
        <v>0.26879975</v>
      </c>
      <c r="AG6">
        <v>0.40300960000000002</v>
      </c>
      <c r="AJ6" t="s">
        <v>48</v>
      </c>
    </row>
    <row r="7" spans="1:36" x14ac:dyDescent="0.2">
      <c r="A7">
        <v>5</v>
      </c>
      <c r="B7" t="s">
        <v>49</v>
      </c>
      <c r="C7" t="s">
        <v>59</v>
      </c>
      <c r="E7" t="s">
        <v>46</v>
      </c>
      <c r="I7" t="b">
        <f t="shared" si="0"/>
        <v>0</v>
      </c>
      <c r="J7">
        <v>1.4084506779909099E-2</v>
      </c>
      <c r="K7">
        <v>0</v>
      </c>
      <c r="M7">
        <v>0.21540814638137801</v>
      </c>
      <c r="N7">
        <v>1.5354295261204199E-2</v>
      </c>
      <c r="O7">
        <v>3</v>
      </c>
      <c r="P7">
        <v>0</v>
      </c>
      <c r="W7">
        <v>0.99123861525317603</v>
      </c>
      <c r="X7">
        <v>5</v>
      </c>
      <c r="Y7">
        <v>6</v>
      </c>
      <c r="Z7" t="s">
        <v>54</v>
      </c>
      <c r="AA7" t="s">
        <v>60</v>
      </c>
      <c r="AB7">
        <v>0.71909500000000004</v>
      </c>
      <c r="AC7">
        <v>0.75667969999999996</v>
      </c>
      <c r="AD7">
        <v>0.73788739999999997</v>
      </c>
      <c r="AE7">
        <v>0.53721940000000001</v>
      </c>
      <c r="AF7">
        <v>0.44548559999999998</v>
      </c>
      <c r="AG7">
        <v>0.49135250000000003</v>
      </c>
      <c r="AJ7" t="s">
        <v>61</v>
      </c>
    </row>
    <row r="8" spans="1:36" x14ac:dyDescent="0.2">
      <c r="A8">
        <v>6</v>
      </c>
      <c r="B8" t="s">
        <v>62</v>
      </c>
      <c r="C8" t="s">
        <v>63</v>
      </c>
      <c r="E8" t="s">
        <v>35</v>
      </c>
      <c r="F8" t="s">
        <v>64</v>
      </c>
      <c r="G8" t="s">
        <v>65</v>
      </c>
      <c r="I8" t="b">
        <f t="shared" si="0"/>
        <v>0</v>
      </c>
      <c r="J8">
        <v>8.3720929920673398E-2</v>
      </c>
      <c r="K8">
        <v>1.68802961707115E-2</v>
      </c>
      <c r="L8">
        <v>6.3829787075519603E-2</v>
      </c>
      <c r="M8">
        <v>8.7294928729534205E-2</v>
      </c>
      <c r="N8">
        <v>6.27294331789017E-2</v>
      </c>
      <c r="O8">
        <v>18</v>
      </c>
      <c r="P8">
        <v>1.58674788475037</v>
      </c>
      <c r="Q8">
        <v>0.43943333625793501</v>
      </c>
      <c r="R8">
        <v>0.22288046777248399</v>
      </c>
      <c r="S8">
        <v>1</v>
      </c>
      <c r="T8">
        <v>0.26445797085762002</v>
      </c>
      <c r="U8" t="s">
        <v>39</v>
      </c>
      <c r="V8" t="s">
        <v>66</v>
      </c>
      <c r="W8">
        <v>1.09334513474836</v>
      </c>
      <c r="X8">
        <v>6</v>
      </c>
      <c r="Y8">
        <v>4</v>
      </c>
      <c r="Z8" t="s">
        <v>64</v>
      </c>
      <c r="AA8" t="s">
        <v>67</v>
      </c>
      <c r="AB8">
        <v>0.72587246000000005</v>
      </c>
      <c r="AC8">
        <v>0.72057724000000001</v>
      </c>
      <c r="AD8">
        <v>0.72322489999999995</v>
      </c>
      <c r="AE8">
        <v>0.19569644</v>
      </c>
      <c r="AF8">
        <v>0.37188696999999998</v>
      </c>
      <c r="AG8">
        <v>0.28379172000000003</v>
      </c>
      <c r="AJ8" t="s">
        <v>48</v>
      </c>
    </row>
    <row r="9" spans="1:36" x14ac:dyDescent="0.2">
      <c r="A9">
        <v>7</v>
      </c>
      <c r="B9" t="s">
        <v>62</v>
      </c>
      <c r="C9" t="s">
        <v>68</v>
      </c>
      <c r="E9" t="s">
        <v>42</v>
      </c>
      <c r="F9" t="s">
        <v>64</v>
      </c>
      <c r="G9" t="s">
        <v>69</v>
      </c>
      <c r="I9" t="b">
        <f t="shared" si="0"/>
        <v>0</v>
      </c>
      <c r="J9">
        <v>0</v>
      </c>
      <c r="K9">
        <v>1.5957446768879901E-2</v>
      </c>
      <c r="L9">
        <v>6.3829787075519603E-2</v>
      </c>
      <c r="M9">
        <v>6.19813427329063E-2</v>
      </c>
      <c r="N9">
        <v>6.8774998188018799E-2</v>
      </c>
      <c r="O9">
        <v>0</v>
      </c>
      <c r="P9">
        <v>1.5</v>
      </c>
      <c r="Q9">
        <v>0.43943333625793501</v>
      </c>
      <c r="R9">
        <v>0.460202395915985</v>
      </c>
      <c r="S9">
        <v>1</v>
      </c>
      <c r="T9">
        <v>0.25</v>
      </c>
      <c r="U9" t="s">
        <v>39</v>
      </c>
      <c r="V9" t="s">
        <v>70</v>
      </c>
      <c r="W9">
        <v>0.98858282189449398</v>
      </c>
      <c r="X9">
        <v>6</v>
      </c>
      <c r="Y9">
        <v>4</v>
      </c>
      <c r="Z9" t="s">
        <v>64</v>
      </c>
      <c r="AA9" t="s">
        <v>71</v>
      </c>
      <c r="AB9">
        <v>0.72587246000000005</v>
      </c>
      <c r="AC9">
        <v>0.86023503999999995</v>
      </c>
      <c r="AD9">
        <v>0.79305375</v>
      </c>
      <c r="AE9">
        <v>0.19569644</v>
      </c>
      <c r="AF9">
        <v>0.17163134999999999</v>
      </c>
      <c r="AG9">
        <v>0.18366389999999999</v>
      </c>
      <c r="AH9" t="s">
        <v>72</v>
      </c>
      <c r="AI9" t="s">
        <v>73</v>
      </c>
      <c r="AJ9" t="s">
        <v>61</v>
      </c>
    </row>
    <row r="10" spans="1:36" x14ac:dyDescent="0.2">
      <c r="A10">
        <v>8</v>
      </c>
      <c r="B10" t="s">
        <v>62</v>
      </c>
      <c r="C10" t="s">
        <v>74</v>
      </c>
      <c r="E10" t="s">
        <v>46</v>
      </c>
      <c r="I10" t="b">
        <f t="shared" si="0"/>
        <v>0</v>
      </c>
      <c r="J10">
        <v>1.8604651093482999E-2</v>
      </c>
      <c r="K10">
        <v>0</v>
      </c>
      <c r="M10">
        <v>6.9951079785823794E-2</v>
      </c>
      <c r="N10">
        <v>2.6399999856948901E-2</v>
      </c>
      <c r="O10">
        <v>4</v>
      </c>
      <c r="P10">
        <v>0</v>
      </c>
      <c r="W10">
        <v>1.2776826955843199</v>
      </c>
      <c r="X10">
        <v>6</v>
      </c>
      <c r="Y10">
        <v>4</v>
      </c>
      <c r="Z10" t="s">
        <v>64</v>
      </c>
      <c r="AA10" t="s">
        <v>75</v>
      </c>
      <c r="AB10">
        <v>0.72587246000000005</v>
      </c>
      <c r="AC10">
        <v>0.78657540000000004</v>
      </c>
      <c r="AD10">
        <v>0.75622389999999995</v>
      </c>
      <c r="AE10">
        <v>0.19569644</v>
      </c>
      <c r="AF10">
        <v>0.34192422</v>
      </c>
      <c r="AG10">
        <v>0.26881032999999999</v>
      </c>
      <c r="AH10" t="s">
        <v>72</v>
      </c>
      <c r="AI10" t="s">
        <v>76</v>
      </c>
      <c r="AJ10" t="s">
        <v>40</v>
      </c>
    </row>
    <row r="11" spans="1:36" x14ac:dyDescent="0.2">
      <c r="A11">
        <v>9</v>
      </c>
      <c r="B11" t="s">
        <v>77</v>
      </c>
      <c r="C11" t="s">
        <v>78</v>
      </c>
      <c r="E11" t="s">
        <v>35</v>
      </c>
      <c r="F11" t="s">
        <v>79</v>
      </c>
      <c r="G11" t="s">
        <v>80</v>
      </c>
      <c r="I11" t="b">
        <f t="shared" si="0"/>
        <v>0</v>
      </c>
      <c r="J11">
        <v>0.108490563929081</v>
      </c>
      <c r="K11">
        <v>1.01643577218056E-2</v>
      </c>
      <c r="L11">
        <v>3.3333335071802098E-2</v>
      </c>
      <c r="M11">
        <v>0.27463361620902998</v>
      </c>
      <c r="N11">
        <v>0.123893350362778</v>
      </c>
      <c r="O11">
        <v>23</v>
      </c>
      <c r="P11">
        <v>0.91479218006134</v>
      </c>
      <c r="Q11">
        <v>0.41635149717330899</v>
      </c>
      <c r="R11">
        <v>0.61703246831893899</v>
      </c>
      <c r="S11">
        <v>0.30493071675300598</v>
      </c>
      <c r="T11">
        <v>1</v>
      </c>
      <c r="U11" t="s">
        <v>81</v>
      </c>
      <c r="V11" t="s">
        <v>39</v>
      </c>
      <c r="W11">
        <v>1.49117042728792</v>
      </c>
      <c r="X11">
        <v>4</v>
      </c>
      <c r="Y11">
        <v>7</v>
      </c>
      <c r="Z11" t="s">
        <v>82</v>
      </c>
      <c r="AA11" t="s">
        <v>80</v>
      </c>
      <c r="AB11">
        <v>0.76060282999999995</v>
      </c>
      <c r="AC11">
        <v>0.78733520000000001</v>
      </c>
      <c r="AD11">
        <v>0.77396905000000005</v>
      </c>
      <c r="AE11">
        <v>0.30838486999999998</v>
      </c>
      <c r="AF11">
        <v>0.21277215999999999</v>
      </c>
      <c r="AG11">
        <v>0.26057849999999999</v>
      </c>
      <c r="AJ11" t="s">
        <v>61</v>
      </c>
    </row>
    <row r="12" spans="1:36" x14ac:dyDescent="0.2">
      <c r="A12">
        <v>10</v>
      </c>
      <c r="B12" t="s">
        <v>77</v>
      </c>
      <c r="C12" t="s">
        <v>83</v>
      </c>
      <c r="E12" t="s">
        <v>42</v>
      </c>
      <c r="F12" t="s">
        <v>84</v>
      </c>
      <c r="G12" t="s">
        <v>85</v>
      </c>
      <c r="I12" t="b">
        <f t="shared" si="0"/>
        <v>0</v>
      </c>
      <c r="J12">
        <v>0</v>
      </c>
      <c r="K12">
        <v>8.3064399659632995E-3</v>
      </c>
      <c r="L12">
        <v>6.0606062412261963E-2</v>
      </c>
      <c r="M12">
        <v>1.0677566751837699E-2</v>
      </c>
      <c r="N12">
        <v>1.52406552806497E-2</v>
      </c>
      <c r="O12">
        <v>0</v>
      </c>
      <c r="P12">
        <v>0.82233750820159901</v>
      </c>
      <c r="Q12">
        <v>0.40410903096199002</v>
      </c>
      <c r="R12">
        <v>0.38480496406555198</v>
      </c>
      <c r="S12">
        <v>0.19097368419170399</v>
      </c>
      <c r="T12">
        <v>0.717670917510986</v>
      </c>
      <c r="U12" t="s">
        <v>86</v>
      </c>
      <c r="V12" t="s">
        <v>87</v>
      </c>
      <c r="W12">
        <v>1.3872506231489801</v>
      </c>
      <c r="X12">
        <v>4</v>
      </c>
      <c r="Y12">
        <v>5</v>
      </c>
      <c r="Z12" t="s">
        <v>82</v>
      </c>
      <c r="AA12" t="s">
        <v>85</v>
      </c>
      <c r="AB12">
        <v>0.76060282999999995</v>
      </c>
      <c r="AC12">
        <v>0.68595092999999996</v>
      </c>
      <c r="AD12">
        <v>0.72327684999999997</v>
      </c>
      <c r="AE12">
        <v>0.30838486999999998</v>
      </c>
      <c r="AF12">
        <v>0.14578894000000001</v>
      </c>
      <c r="AG12">
        <v>0.22708690000000001</v>
      </c>
      <c r="AH12" t="s">
        <v>72</v>
      </c>
      <c r="AI12" t="s">
        <v>76</v>
      </c>
      <c r="AJ12" t="s">
        <v>40</v>
      </c>
    </row>
    <row r="13" spans="1:36" x14ac:dyDescent="0.2">
      <c r="A13">
        <v>11</v>
      </c>
      <c r="B13" t="s">
        <v>77</v>
      </c>
      <c r="C13" t="s">
        <v>88</v>
      </c>
      <c r="E13" t="s">
        <v>46</v>
      </c>
      <c r="I13" t="b">
        <f t="shared" si="0"/>
        <v>0</v>
      </c>
      <c r="J13">
        <v>4.2452830821275697E-2</v>
      </c>
      <c r="K13">
        <v>0</v>
      </c>
      <c r="M13">
        <v>0.186617642641068</v>
      </c>
      <c r="N13">
        <v>1.1796684935689E-2</v>
      </c>
      <c r="O13">
        <v>9</v>
      </c>
      <c r="P13">
        <v>0</v>
      </c>
      <c r="W13">
        <v>0.91504095529577401</v>
      </c>
      <c r="X13">
        <v>4</v>
      </c>
      <c r="Y13">
        <v>4</v>
      </c>
      <c r="Z13" t="s">
        <v>82</v>
      </c>
      <c r="AA13" t="s">
        <v>89</v>
      </c>
      <c r="AB13">
        <v>0.76060282999999995</v>
      </c>
      <c r="AC13">
        <v>0.65861016999999999</v>
      </c>
      <c r="AD13">
        <v>0.70960650000000003</v>
      </c>
      <c r="AE13">
        <v>0.30838486999999998</v>
      </c>
      <c r="AF13">
        <v>0.54323399999999999</v>
      </c>
      <c r="AG13">
        <v>0.42580943999999998</v>
      </c>
      <c r="AJ13" t="s">
        <v>44</v>
      </c>
    </row>
    <row r="14" spans="1:36" x14ac:dyDescent="0.2">
      <c r="A14">
        <v>12</v>
      </c>
      <c r="B14" t="s">
        <v>90</v>
      </c>
      <c r="C14" t="s">
        <v>91</v>
      </c>
      <c r="E14" t="s">
        <v>35</v>
      </c>
      <c r="F14" t="s">
        <v>92</v>
      </c>
      <c r="G14" t="s">
        <v>93</v>
      </c>
      <c r="I14" t="b">
        <f t="shared" si="0"/>
        <v>1</v>
      </c>
      <c r="J14">
        <v>0.15936255455017101</v>
      </c>
      <c r="K14">
        <v>0.123941704630852</v>
      </c>
      <c r="L14">
        <v>0.31999999284744302</v>
      </c>
      <c r="M14">
        <v>0.296873599290848</v>
      </c>
      <c r="N14">
        <v>0.137575298547745</v>
      </c>
      <c r="O14">
        <v>40</v>
      </c>
      <c r="P14">
        <v>15.492713928222701</v>
      </c>
      <c r="Q14">
        <v>0.28886657953262301</v>
      </c>
      <c r="R14">
        <v>0.55331361293792702</v>
      </c>
      <c r="S14">
        <v>1</v>
      </c>
      <c r="T14">
        <v>0.38731783628463701</v>
      </c>
      <c r="U14" t="s">
        <v>39</v>
      </c>
      <c r="V14" t="s">
        <v>94</v>
      </c>
      <c r="W14">
        <v>1.19564090586326</v>
      </c>
      <c r="X14">
        <v>5</v>
      </c>
      <c r="Y14">
        <v>4</v>
      </c>
      <c r="Z14" t="s">
        <v>92</v>
      </c>
      <c r="AA14" t="s">
        <v>95</v>
      </c>
      <c r="AB14">
        <v>0.76177329999999999</v>
      </c>
      <c r="AC14">
        <v>0.78119713000000002</v>
      </c>
      <c r="AD14">
        <v>0.77148519999999998</v>
      </c>
      <c r="AE14">
        <v>0.66365932999999999</v>
      </c>
      <c r="AF14">
        <v>0.14207259999999999</v>
      </c>
      <c r="AG14">
        <v>0.40286598000000001</v>
      </c>
      <c r="AJ14" t="s">
        <v>40</v>
      </c>
    </row>
    <row r="15" spans="1:36" x14ac:dyDescent="0.2">
      <c r="A15">
        <v>13</v>
      </c>
      <c r="B15" t="s">
        <v>90</v>
      </c>
      <c r="C15" t="s">
        <v>96</v>
      </c>
      <c r="E15" t="s">
        <v>42</v>
      </c>
      <c r="F15" t="s">
        <v>92</v>
      </c>
      <c r="G15" t="s">
        <v>97</v>
      </c>
      <c r="I15" t="b">
        <f t="shared" si="0"/>
        <v>1</v>
      </c>
      <c r="J15">
        <v>0</v>
      </c>
      <c r="K15">
        <v>1.2401157990098E-2</v>
      </c>
      <c r="L15">
        <v>3.20000015199184E-2</v>
      </c>
      <c r="M15">
        <v>9.0543171390891006E-3</v>
      </c>
      <c r="N15">
        <v>4.0962573140859597E-2</v>
      </c>
      <c r="O15">
        <v>0</v>
      </c>
      <c r="P15">
        <v>1.5501446723937999</v>
      </c>
      <c r="Q15">
        <v>0.28886657953262301</v>
      </c>
      <c r="R15">
        <v>0.37566882371902499</v>
      </c>
      <c r="S15">
        <v>1</v>
      </c>
      <c r="T15">
        <v>0.38753616809844998</v>
      </c>
      <c r="U15" t="s">
        <v>39</v>
      </c>
      <c r="V15" t="s">
        <v>98</v>
      </c>
      <c r="W15">
        <v>1.24109675335852</v>
      </c>
      <c r="X15">
        <v>5</v>
      </c>
      <c r="Y15">
        <v>5</v>
      </c>
      <c r="Z15" t="s">
        <v>92</v>
      </c>
      <c r="AA15" t="s">
        <v>99</v>
      </c>
      <c r="AB15">
        <v>0.76177329999999999</v>
      </c>
      <c r="AC15">
        <v>0.74432622999999998</v>
      </c>
      <c r="AD15">
        <v>0.75304972999999997</v>
      </c>
      <c r="AE15">
        <v>0.66365932999999999</v>
      </c>
      <c r="AF15">
        <v>0.23645446000000001</v>
      </c>
      <c r="AG15">
        <v>0.45005689999999998</v>
      </c>
      <c r="AJ15" t="s">
        <v>44</v>
      </c>
    </row>
    <row r="16" spans="1:36" x14ac:dyDescent="0.2">
      <c r="A16">
        <v>14</v>
      </c>
      <c r="B16" t="s">
        <v>90</v>
      </c>
      <c r="C16" t="s">
        <v>100</v>
      </c>
      <c r="D16" t="s">
        <v>72</v>
      </c>
      <c r="E16" t="s">
        <v>46</v>
      </c>
      <c r="I16" t="b">
        <f t="shared" si="0"/>
        <v>1</v>
      </c>
      <c r="J16">
        <v>3.1872510910034201E-2</v>
      </c>
      <c r="K16">
        <v>0</v>
      </c>
      <c r="M16">
        <v>0.103249222040176</v>
      </c>
      <c r="N16">
        <v>1.31000000983477E-2</v>
      </c>
      <c r="O16">
        <v>8</v>
      </c>
      <c r="P16">
        <v>0</v>
      </c>
      <c r="W16">
        <v>1.3420434166556501</v>
      </c>
      <c r="X16">
        <v>5</v>
      </c>
      <c r="Y16">
        <v>5</v>
      </c>
      <c r="Z16" t="s">
        <v>92</v>
      </c>
      <c r="AA16" t="s">
        <v>101</v>
      </c>
      <c r="AB16">
        <v>0.76177329999999999</v>
      </c>
      <c r="AC16">
        <v>0.61387309999999995</v>
      </c>
      <c r="AD16">
        <v>0.68782319999999997</v>
      </c>
      <c r="AE16">
        <v>0.66365932999999999</v>
      </c>
      <c r="AF16">
        <v>4.5322899999999996E-3</v>
      </c>
      <c r="AG16">
        <v>0.3340958</v>
      </c>
      <c r="AH16" t="s">
        <v>102</v>
      </c>
      <c r="AI16" t="s">
        <v>103</v>
      </c>
      <c r="AJ16" t="s">
        <v>48</v>
      </c>
    </row>
    <row r="17" spans="1:36" x14ac:dyDescent="0.2">
      <c r="A17">
        <v>15</v>
      </c>
      <c r="B17" t="s">
        <v>104</v>
      </c>
      <c r="C17" t="s">
        <v>105</v>
      </c>
      <c r="E17" t="s">
        <v>35</v>
      </c>
      <c r="F17" t="s">
        <v>106</v>
      </c>
      <c r="G17" t="s">
        <v>107</v>
      </c>
      <c r="I17" t="b">
        <f t="shared" si="0"/>
        <v>0</v>
      </c>
      <c r="J17">
        <v>0.13385826349258401</v>
      </c>
      <c r="K17">
        <v>1.3891114853322501E-2</v>
      </c>
      <c r="L17">
        <v>5.4545454680919703E-2</v>
      </c>
      <c r="M17">
        <v>0.43504554033279402</v>
      </c>
      <c r="N17">
        <v>0.15305694937705999</v>
      </c>
      <c r="O17">
        <v>17</v>
      </c>
      <c r="P17">
        <v>1.5280226469039899</v>
      </c>
      <c r="Q17">
        <v>0.43628281354904203</v>
      </c>
      <c r="R17">
        <v>0.46571725606918302</v>
      </c>
      <c r="S17">
        <v>0.76401132345199596</v>
      </c>
      <c r="T17">
        <v>0.33333334326744102</v>
      </c>
      <c r="U17" t="s">
        <v>108</v>
      </c>
      <c r="V17" t="s">
        <v>109</v>
      </c>
      <c r="W17">
        <v>1.1955943660292501</v>
      </c>
      <c r="X17">
        <v>5</v>
      </c>
      <c r="Y17">
        <v>4</v>
      </c>
      <c r="Z17" t="s">
        <v>106</v>
      </c>
      <c r="AA17" t="s">
        <v>110</v>
      </c>
      <c r="AB17">
        <v>0.78289162999999995</v>
      </c>
      <c r="AC17">
        <v>0.80756570000000005</v>
      </c>
      <c r="AD17">
        <v>0.79522866000000003</v>
      </c>
      <c r="AE17">
        <v>0.20434366000000001</v>
      </c>
      <c r="AF17">
        <v>0.33916659999999998</v>
      </c>
      <c r="AG17">
        <v>0.27175513000000001</v>
      </c>
      <c r="AJ17" t="s">
        <v>61</v>
      </c>
    </row>
    <row r="18" spans="1:36" x14ac:dyDescent="0.2">
      <c r="A18">
        <v>16</v>
      </c>
      <c r="B18" t="s">
        <v>104</v>
      </c>
      <c r="C18" t="s">
        <v>111</v>
      </c>
      <c r="E18" t="s">
        <v>42</v>
      </c>
      <c r="F18" t="s">
        <v>112</v>
      </c>
      <c r="G18" t="s">
        <v>113</v>
      </c>
      <c r="I18" t="b">
        <f t="shared" si="0"/>
        <v>0</v>
      </c>
      <c r="J18">
        <v>0</v>
      </c>
      <c r="K18">
        <v>1.68563351035118E-2</v>
      </c>
      <c r="L18">
        <v>7.1428574621677399E-2</v>
      </c>
      <c r="M18">
        <v>3.9929583668708801E-2</v>
      </c>
      <c r="N18">
        <v>7.9504586756229401E-2</v>
      </c>
      <c r="O18">
        <v>0</v>
      </c>
      <c r="P18">
        <v>1.6519207954406701</v>
      </c>
      <c r="Q18">
        <v>0.33062800765037498</v>
      </c>
      <c r="R18">
        <v>0.43469262123107899</v>
      </c>
      <c r="S18">
        <v>0.23598869144916501</v>
      </c>
      <c r="T18">
        <v>1</v>
      </c>
      <c r="U18" t="s">
        <v>114</v>
      </c>
      <c r="V18" t="s">
        <v>39</v>
      </c>
      <c r="W18">
        <v>0.92940086971449098</v>
      </c>
      <c r="X18">
        <v>5</v>
      </c>
      <c r="Y18">
        <v>5</v>
      </c>
      <c r="Z18" t="s">
        <v>106</v>
      </c>
      <c r="AA18" t="s">
        <v>113</v>
      </c>
      <c r="AB18">
        <v>0.78289162999999995</v>
      </c>
      <c r="AC18">
        <v>0.72355389999999997</v>
      </c>
      <c r="AD18">
        <v>0.75322275999999999</v>
      </c>
      <c r="AE18">
        <v>0.20434366000000001</v>
      </c>
      <c r="AF18">
        <v>0.20194403999999999</v>
      </c>
      <c r="AG18">
        <v>0.20314384999999999</v>
      </c>
      <c r="AJ18" t="s">
        <v>40</v>
      </c>
    </row>
    <row r="19" spans="1:36" x14ac:dyDescent="0.2">
      <c r="A19">
        <v>17</v>
      </c>
      <c r="B19" t="s">
        <v>104</v>
      </c>
      <c r="C19" t="s">
        <v>115</v>
      </c>
      <c r="E19" t="s">
        <v>46</v>
      </c>
      <c r="I19" t="b">
        <f t="shared" si="0"/>
        <v>0</v>
      </c>
      <c r="J19">
        <v>6.2992125749587999E-2</v>
      </c>
      <c r="K19">
        <v>0</v>
      </c>
      <c r="M19">
        <v>6.4128473401069599E-2</v>
      </c>
      <c r="N19">
        <v>1.7228454351425199E-2</v>
      </c>
      <c r="O19">
        <v>8</v>
      </c>
      <c r="P19">
        <v>0</v>
      </c>
      <c r="W19">
        <v>1.4424811986953101</v>
      </c>
      <c r="X19">
        <v>5</v>
      </c>
      <c r="Y19">
        <v>5</v>
      </c>
      <c r="Z19" t="s">
        <v>106</v>
      </c>
      <c r="AA19" t="s">
        <v>116</v>
      </c>
      <c r="AB19">
        <v>0.78289162999999995</v>
      </c>
      <c r="AC19">
        <v>0.52951970000000004</v>
      </c>
      <c r="AD19">
        <v>0.65620564999999997</v>
      </c>
      <c r="AE19">
        <v>0.20434366000000001</v>
      </c>
      <c r="AF19">
        <v>5.1740978E-2</v>
      </c>
      <c r="AG19">
        <v>0.12804233000000001</v>
      </c>
      <c r="AJ19" t="s">
        <v>44</v>
      </c>
    </row>
    <row r="20" spans="1:36" x14ac:dyDescent="0.2">
      <c r="A20">
        <v>18</v>
      </c>
      <c r="B20" t="s">
        <v>117</v>
      </c>
      <c r="C20" t="s">
        <v>118</v>
      </c>
      <c r="E20" t="s">
        <v>35</v>
      </c>
      <c r="F20" t="s">
        <v>119</v>
      </c>
      <c r="G20" t="s">
        <v>120</v>
      </c>
      <c r="I20" t="b">
        <f t="shared" si="0"/>
        <v>0</v>
      </c>
      <c r="J20">
        <v>3.0864197760820399E-2</v>
      </c>
      <c r="K20">
        <v>1.08102830126882E-2</v>
      </c>
      <c r="L20">
        <v>9.2592589557170896E-2</v>
      </c>
      <c r="M20">
        <v>0.16155199706554399</v>
      </c>
      <c r="N20">
        <v>9.9980957806110396E-2</v>
      </c>
      <c r="O20">
        <v>5</v>
      </c>
      <c r="P20">
        <v>1.1675107479095499</v>
      </c>
      <c r="Q20">
        <v>0.39670142531394997</v>
      </c>
      <c r="R20">
        <v>0.29363948106765703</v>
      </c>
      <c r="S20">
        <v>0.15903799235820801</v>
      </c>
      <c r="T20">
        <v>0.73410803079605103</v>
      </c>
      <c r="U20" t="s">
        <v>121</v>
      </c>
      <c r="V20" t="s">
        <v>122</v>
      </c>
      <c r="W20">
        <v>1.3195349259653599</v>
      </c>
      <c r="X20">
        <v>6</v>
      </c>
      <c r="Y20">
        <v>5</v>
      </c>
      <c r="Z20" t="s">
        <v>123</v>
      </c>
      <c r="AA20" t="s">
        <v>120</v>
      </c>
      <c r="AB20">
        <v>0.6317142</v>
      </c>
      <c r="AC20">
        <v>0.70150889999999999</v>
      </c>
      <c r="AD20">
        <v>0.66661155000000005</v>
      </c>
      <c r="AE20">
        <v>0.21258223000000001</v>
      </c>
      <c r="AF20">
        <v>0.25638013999999998</v>
      </c>
      <c r="AG20">
        <v>0.23448119000000001</v>
      </c>
      <c r="AJ20" t="s">
        <v>44</v>
      </c>
    </row>
    <row r="21" spans="1:36" x14ac:dyDescent="0.2">
      <c r="A21">
        <v>19</v>
      </c>
      <c r="B21" t="s">
        <v>117</v>
      </c>
      <c r="C21" t="s">
        <v>124</v>
      </c>
      <c r="E21" t="s">
        <v>42</v>
      </c>
      <c r="F21" t="s">
        <v>125</v>
      </c>
      <c r="G21" t="s">
        <v>126</v>
      </c>
      <c r="I21" t="b">
        <f t="shared" si="0"/>
        <v>0</v>
      </c>
      <c r="J21">
        <v>0</v>
      </c>
      <c r="K21">
        <v>9.5036746934056004E-3</v>
      </c>
      <c r="L21">
        <v>7.1428574621677399E-2</v>
      </c>
      <c r="M21">
        <v>4.4731561094522497E-2</v>
      </c>
      <c r="N21">
        <v>5.7345170527696603E-2</v>
      </c>
      <c r="O21">
        <v>0</v>
      </c>
      <c r="P21">
        <v>1.0644115209579501</v>
      </c>
      <c r="Q21">
        <v>0.26169833540916398</v>
      </c>
      <c r="R21">
        <v>0.32283595204353299</v>
      </c>
      <c r="S21">
        <v>0.420480996370316</v>
      </c>
      <c r="T21">
        <v>0.31642675399780301</v>
      </c>
      <c r="U21" t="s">
        <v>127</v>
      </c>
      <c r="V21" t="s">
        <v>128</v>
      </c>
      <c r="W21">
        <v>0.76996462296193502</v>
      </c>
      <c r="X21">
        <v>6</v>
      </c>
      <c r="Y21">
        <v>7</v>
      </c>
      <c r="Z21" t="s">
        <v>123</v>
      </c>
      <c r="AA21" t="s">
        <v>126</v>
      </c>
      <c r="AB21">
        <v>0.6317142</v>
      </c>
      <c r="AC21">
        <v>0.75581335999999999</v>
      </c>
      <c r="AD21">
        <v>0.69376380000000004</v>
      </c>
      <c r="AE21">
        <v>0.21258223000000001</v>
      </c>
      <c r="AF21">
        <v>0.31563348000000002</v>
      </c>
      <c r="AG21">
        <v>0.26410784999999998</v>
      </c>
      <c r="AJ21" t="s">
        <v>48</v>
      </c>
    </row>
    <row r="22" spans="1:36" x14ac:dyDescent="0.2">
      <c r="A22">
        <v>20</v>
      </c>
      <c r="B22" t="s">
        <v>117</v>
      </c>
      <c r="C22" t="s">
        <v>129</v>
      </c>
      <c r="E22" t="s">
        <v>46</v>
      </c>
      <c r="I22" t="b">
        <f t="shared" si="0"/>
        <v>0</v>
      </c>
      <c r="J22">
        <v>2.4691358208656301E-2</v>
      </c>
      <c r="K22">
        <v>0</v>
      </c>
      <c r="M22">
        <v>0.18023288249969499</v>
      </c>
      <c r="N22">
        <v>1.5557796694338299E-2</v>
      </c>
      <c r="O22">
        <v>4</v>
      </c>
      <c r="P22">
        <v>0</v>
      </c>
      <c r="W22">
        <v>1.0066423638169699</v>
      </c>
      <c r="X22">
        <v>6</v>
      </c>
      <c r="Y22">
        <v>7</v>
      </c>
      <c r="Z22" t="s">
        <v>123</v>
      </c>
      <c r="AA22" t="s">
        <v>130</v>
      </c>
      <c r="AB22">
        <v>0.6317142</v>
      </c>
      <c r="AC22">
        <v>0.68744859999999997</v>
      </c>
      <c r="AD22">
        <v>0.65958139999999998</v>
      </c>
      <c r="AE22">
        <v>0.21258223000000001</v>
      </c>
      <c r="AF22">
        <v>9.9708169999999999E-2</v>
      </c>
      <c r="AG22">
        <v>0.15614520000000001</v>
      </c>
      <c r="AJ22" t="s">
        <v>61</v>
      </c>
    </row>
    <row r="23" spans="1:36" x14ac:dyDescent="0.2">
      <c r="A23">
        <v>21</v>
      </c>
      <c r="B23" t="s">
        <v>131</v>
      </c>
      <c r="C23" t="s">
        <v>132</v>
      </c>
      <c r="E23" t="s">
        <v>35</v>
      </c>
      <c r="F23" t="s">
        <v>133</v>
      </c>
      <c r="G23" t="s">
        <v>134</v>
      </c>
      <c r="I23" t="b">
        <f t="shared" si="0"/>
        <v>0</v>
      </c>
      <c r="J23">
        <v>2.1621622145175899E-2</v>
      </c>
      <c r="K23">
        <v>1.2578616850078101E-2</v>
      </c>
      <c r="L23">
        <v>3.7735849618911702E-2</v>
      </c>
      <c r="M23">
        <v>0.43747025728225702</v>
      </c>
      <c r="N23">
        <v>0.179766684770584</v>
      </c>
      <c r="O23">
        <v>4</v>
      </c>
      <c r="P23">
        <v>1.3333333730697601</v>
      </c>
      <c r="Q23">
        <v>0.35228812694549599</v>
      </c>
      <c r="R23">
        <v>0.56264901161193903</v>
      </c>
      <c r="S23">
        <v>0.33333334326744102</v>
      </c>
      <c r="T23">
        <v>1</v>
      </c>
      <c r="U23" t="s">
        <v>135</v>
      </c>
      <c r="V23" t="s">
        <v>39</v>
      </c>
      <c r="W23">
        <v>0.66114385915401197</v>
      </c>
      <c r="X23">
        <v>5</v>
      </c>
      <c r="Y23">
        <v>6</v>
      </c>
      <c r="Z23" t="s">
        <v>136</v>
      </c>
      <c r="AA23" t="s">
        <v>134</v>
      </c>
      <c r="AB23">
        <v>0.741537</v>
      </c>
      <c r="AC23">
        <v>0.75599939999999999</v>
      </c>
      <c r="AD23">
        <v>0.74876819999999999</v>
      </c>
      <c r="AE23">
        <v>0.22103650999999999</v>
      </c>
      <c r="AF23">
        <v>0.28496801999999999</v>
      </c>
      <c r="AG23">
        <v>0.25300225999999998</v>
      </c>
      <c r="AJ23" t="s">
        <v>61</v>
      </c>
    </row>
    <row r="24" spans="1:36" x14ac:dyDescent="0.2">
      <c r="A24">
        <v>22</v>
      </c>
      <c r="B24" t="s">
        <v>131</v>
      </c>
      <c r="C24" t="s">
        <v>137</v>
      </c>
      <c r="E24" t="s">
        <v>42</v>
      </c>
      <c r="F24" t="s">
        <v>136</v>
      </c>
      <c r="G24" t="s">
        <v>138</v>
      </c>
      <c r="I24" t="b">
        <f t="shared" si="0"/>
        <v>0</v>
      </c>
      <c r="J24">
        <v>0</v>
      </c>
      <c r="K24">
        <v>4.5197740197181702E-2</v>
      </c>
      <c r="L24">
        <v>0.13559322059154499</v>
      </c>
      <c r="M24">
        <v>5.5737327784299899E-2</v>
      </c>
      <c r="N24">
        <v>0.159133344888687</v>
      </c>
      <c r="O24">
        <v>0</v>
      </c>
      <c r="P24">
        <v>5.3333334922790501</v>
      </c>
      <c r="Q24">
        <v>0.21543863415718101</v>
      </c>
      <c r="R24">
        <v>0.46761900186538702</v>
      </c>
      <c r="S24">
        <v>0.33333334326744102</v>
      </c>
      <c r="T24">
        <v>1</v>
      </c>
      <c r="U24" t="s">
        <v>139</v>
      </c>
      <c r="V24" t="s">
        <v>39</v>
      </c>
      <c r="W24">
        <v>1.01213309378798</v>
      </c>
      <c r="X24">
        <v>5</v>
      </c>
      <c r="Y24">
        <v>3</v>
      </c>
      <c r="Z24" t="s">
        <v>136</v>
      </c>
      <c r="AA24" t="s">
        <v>138</v>
      </c>
      <c r="AB24">
        <v>0.741537</v>
      </c>
      <c r="AC24">
        <v>0.75052779999999997</v>
      </c>
      <c r="AD24">
        <v>0.74603235999999995</v>
      </c>
      <c r="AE24">
        <v>0.22103650999999999</v>
      </c>
      <c r="AF24">
        <v>0.20527372999999999</v>
      </c>
      <c r="AG24">
        <v>0.21315512</v>
      </c>
      <c r="AJ24" t="s">
        <v>40</v>
      </c>
    </row>
    <row r="25" spans="1:36" x14ac:dyDescent="0.2">
      <c r="A25">
        <v>23</v>
      </c>
      <c r="B25" t="s">
        <v>131</v>
      </c>
      <c r="C25" t="s">
        <v>140</v>
      </c>
      <c r="E25" t="s">
        <v>46</v>
      </c>
      <c r="I25" t="b">
        <f t="shared" si="0"/>
        <v>0</v>
      </c>
      <c r="J25">
        <v>2.1621622145175899E-2</v>
      </c>
      <c r="K25">
        <v>0</v>
      </c>
      <c r="M25">
        <v>0.200916588306427</v>
      </c>
      <c r="N25">
        <v>1.7433334141969702E-2</v>
      </c>
      <c r="O25">
        <v>4</v>
      </c>
      <c r="P25">
        <v>0</v>
      </c>
      <c r="W25">
        <v>1.3416863579321801</v>
      </c>
      <c r="X25">
        <v>5</v>
      </c>
      <c r="Y25">
        <v>5</v>
      </c>
      <c r="Z25" t="s">
        <v>136</v>
      </c>
      <c r="AA25" t="s">
        <v>141</v>
      </c>
      <c r="AB25">
        <v>0.741537</v>
      </c>
      <c r="AC25">
        <v>0.54637080000000005</v>
      </c>
      <c r="AD25">
        <v>0.64395389999999997</v>
      </c>
      <c r="AE25">
        <v>0.22103650999999999</v>
      </c>
      <c r="AF25">
        <v>0.17130128</v>
      </c>
      <c r="AG25">
        <v>0.19616890000000001</v>
      </c>
      <c r="AJ25" t="s">
        <v>44</v>
      </c>
    </row>
    <row r="26" spans="1:36" x14ac:dyDescent="0.2">
      <c r="A26">
        <v>24</v>
      </c>
      <c r="B26" t="s">
        <v>142</v>
      </c>
      <c r="C26" t="s">
        <v>143</v>
      </c>
      <c r="E26" t="s">
        <v>35</v>
      </c>
      <c r="F26" t="s">
        <v>144</v>
      </c>
      <c r="G26" t="s">
        <v>145</v>
      </c>
      <c r="I26" t="b">
        <f t="shared" si="0"/>
        <v>1</v>
      </c>
      <c r="J26">
        <v>0.15068493783473999</v>
      </c>
      <c r="K26">
        <v>8.5602980107068998E-3</v>
      </c>
      <c r="L26">
        <v>8.9108914136886597E-2</v>
      </c>
      <c r="M26">
        <v>0.34357553720474199</v>
      </c>
      <c r="N26">
        <v>5.5520262569189099E-2</v>
      </c>
      <c r="O26">
        <v>33</v>
      </c>
      <c r="P26">
        <v>0.81322836875915505</v>
      </c>
      <c r="Q26">
        <v>0.40694409608840898</v>
      </c>
      <c r="R26">
        <v>0.330889701843262</v>
      </c>
      <c r="S26">
        <v>7.0596165955066695E-2</v>
      </c>
      <c r="T26">
        <v>0.5</v>
      </c>
      <c r="U26" t="s">
        <v>146</v>
      </c>
      <c r="V26" t="s">
        <v>147</v>
      </c>
      <c r="W26">
        <v>1.0756430327784301</v>
      </c>
      <c r="X26">
        <v>6</v>
      </c>
      <c r="Y26">
        <v>4</v>
      </c>
      <c r="Z26" t="s">
        <v>148</v>
      </c>
      <c r="AA26" t="s">
        <v>149</v>
      </c>
      <c r="AB26">
        <v>0.7646963</v>
      </c>
      <c r="AC26">
        <v>0.77594339999999995</v>
      </c>
      <c r="AD26">
        <v>0.7703198</v>
      </c>
      <c r="AE26">
        <v>0.17728187000000001</v>
      </c>
      <c r="AF26">
        <v>0.42318115000000001</v>
      </c>
      <c r="AG26">
        <v>0.30023151999999997</v>
      </c>
      <c r="AJ26" t="s">
        <v>48</v>
      </c>
    </row>
    <row r="27" spans="1:36" x14ac:dyDescent="0.2">
      <c r="A27">
        <v>25</v>
      </c>
      <c r="B27" t="s">
        <v>142</v>
      </c>
      <c r="C27" t="s">
        <v>150</v>
      </c>
      <c r="E27" t="s">
        <v>42</v>
      </c>
      <c r="F27" t="s">
        <v>148</v>
      </c>
      <c r="G27" t="s">
        <v>151</v>
      </c>
      <c r="H27" t="s">
        <v>72</v>
      </c>
      <c r="I27" t="b">
        <f t="shared" si="0"/>
        <v>1</v>
      </c>
      <c r="J27">
        <v>0</v>
      </c>
      <c r="K27">
        <v>1.71205960214138E-2</v>
      </c>
      <c r="L27">
        <v>7.36842080950737E-2</v>
      </c>
      <c r="M27">
        <v>5.4044686257839203E-2</v>
      </c>
      <c r="N27">
        <v>7.2609677910804804E-2</v>
      </c>
      <c r="O27">
        <v>0</v>
      </c>
      <c r="P27">
        <v>1.6264567375183101</v>
      </c>
      <c r="Q27">
        <v>0.318771332502365</v>
      </c>
      <c r="R27">
        <v>0.60429781675338801</v>
      </c>
      <c r="S27">
        <v>0.23235096037387801</v>
      </c>
      <c r="T27">
        <v>1</v>
      </c>
      <c r="U27" t="s">
        <v>152</v>
      </c>
      <c r="V27" t="s">
        <v>39</v>
      </c>
      <c r="W27">
        <v>1.0010440553514099</v>
      </c>
      <c r="X27">
        <v>6</v>
      </c>
      <c r="Y27">
        <v>5</v>
      </c>
      <c r="Z27" t="s">
        <v>148</v>
      </c>
      <c r="AA27" t="s">
        <v>151</v>
      </c>
      <c r="AB27">
        <v>0.7646963</v>
      </c>
      <c r="AC27">
        <v>0.83467250000000004</v>
      </c>
      <c r="AD27">
        <v>0.79968439999999996</v>
      </c>
      <c r="AE27">
        <v>0.17728187000000001</v>
      </c>
      <c r="AF27">
        <v>0.2812132</v>
      </c>
      <c r="AG27">
        <v>0.22924754</v>
      </c>
      <c r="AJ27" t="s">
        <v>61</v>
      </c>
    </row>
    <row r="28" spans="1:36" x14ac:dyDescent="0.2">
      <c r="A28">
        <v>26</v>
      </c>
      <c r="B28" t="s">
        <v>142</v>
      </c>
      <c r="C28" t="s">
        <v>153</v>
      </c>
      <c r="E28" t="s">
        <v>46</v>
      </c>
      <c r="I28" t="b">
        <f t="shared" si="0"/>
        <v>1</v>
      </c>
      <c r="J28">
        <v>2.73972600698471E-2</v>
      </c>
      <c r="K28">
        <v>0</v>
      </c>
      <c r="M28">
        <v>0.18073865771293601</v>
      </c>
      <c r="N28">
        <v>3.0933020170778001E-3</v>
      </c>
      <c r="O28">
        <v>6</v>
      </c>
      <c r="P28">
        <v>0</v>
      </c>
      <c r="W28">
        <v>0.65004254544638995</v>
      </c>
      <c r="X28">
        <v>6</v>
      </c>
      <c r="Y28">
        <v>6</v>
      </c>
      <c r="Z28" t="s">
        <v>148</v>
      </c>
      <c r="AA28" t="s">
        <v>154</v>
      </c>
      <c r="AB28">
        <v>0.7646963</v>
      </c>
      <c r="AC28">
        <v>0.6174963</v>
      </c>
      <c r="AD28">
        <v>0.6910963</v>
      </c>
      <c r="AE28">
        <v>0.17728187000000001</v>
      </c>
      <c r="AF28">
        <v>7.7401269999999994E-2</v>
      </c>
      <c r="AG28">
        <v>0.12734156999999999</v>
      </c>
      <c r="AH28" t="s">
        <v>72</v>
      </c>
      <c r="AI28" t="s">
        <v>76</v>
      </c>
      <c r="AJ28" t="s">
        <v>40</v>
      </c>
    </row>
    <row r="29" spans="1:36" x14ac:dyDescent="0.2">
      <c r="A29">
        <v>27</v>
      </c>
      <c r="B29" t="s">
        <v>155</v>
      </c>
      <c r="C29" t="s">
        <v>156</v>
      </c>
      <c r="E29" t="s">
        <v>35</v>
      </c>
      <c r="F29" t="s">
        <v>157</v>
      </c>
      <c r="G29" t="s">
        <v>158</v>
      </c>
      <c r="I29" t="b">
        <f t="shared" si="0"/>
        <v>0</v>
      </c>
      <c r="J29">
        <v>1.5957446768879901E-2</v>
      </c>
      <c r="K29">
        <v>1.9166335463523899E-2</v>
      </c>
      <c r="L29">
        <v>0.13541667163372001</v>
      </c>
      <c r="M29">
        <v>0.10469201952219</v>
      </c>
      <c r="N29">
        <v>7.99820050597191E-2</v>
      </c>
      <c r="O29">
        <v>3</v>
      </c>
      <c r="P29">
        <v>1.8399682044982899</v>
      </c>
      <c r="Q29">
        <v>0.48786428570747398</v>
      </c>
      <c r="R29">
        <v>0.331714868545532</v>
      </c>
      <c r="S29">
        <v>0.22952285408973699</v>
      </c>
      <c r="T29">
        <v>0.61665326356887795</v>
      </c>
      <c r="U29" t="s">
        <v>159</v>
      </c>
      <c r="V29" t="s">
        <v>160</v>
      </c>
      <c r="W29">
        <v>0.83307912515818705</v>
      </c>
      <c r="X29">
        <v>6</v>
      </c>
      <c r="Y29">
        <v>6</v>
      </c>
      <c r="Z29" t="s">
        <v>161</v>
      </c>
      <c r="AA29" t="s">
        <v>158</v>
      </c>
      <c r="AB29">
        <v>0.78395115999999998</v>
      </c>
      <c r="AC29">
        <v>0.63460090000000002</v>
      </c>
      <c r="AD29">
        <v>0.70927600000000002</v>
      </c>
      <c r="AE29">
        <v>0.14869537999999999</v>
      </c>
      <c r="AF29">
        <v>0.10374456</v>
      </c>
      <c r="AG29">
        <v>0.12621996999999999</v>
      </c>
      <c r="AH29" t="s">
        <v>72</v>
      </c>
      <c r="AI29" t="s">
        <v>162</v>
      </c>
      <c r="AJ29" t="s">
        <v>48</v>
      </c>
    </row>
    <row r="30" spans="1:36" x14ac:dyDescent="0.2">
      <c r="A30">
        <v>28</v>
      </c>
      <c r="B30" t="s">
        <v>155</v>
      </c>
      <c r="C30" t="s">
        <v>111</v>
      </c>
      <c r="E30" t="s">
        <v>42</v>
      </c>
      <c r="F30" t="s">
        <v>163</v>
      </c>
      <c r="G30" t="s">
        <v>113</v>
      </c>
      <c r="I30" t="b">
        <f t="shared" si="0"/>
        <v>0</v>
      </c>
      <c r="J30">
        <v>0</v>
      </c>
      <c r="K30">
        <v>9.9792545661329998E-3</v>
      </c>
      <c r="L30">
        <v>4.34782616794109E-2</v>
      </c>
      <c r="M30">
        <v>1.45280780270696E-2</v>
      </c>
      <c r="N30">
        <v>2.57754176855087E-2</v>
      </c>
      <c r="O30">
        <v>0</v>
      </c>
      <c r="P30">
        <v>0.91809141635894798</v>
      </c>
      <c r="Q30">
        <v>0.45088654756545998</v>
      </c>
      <c r="R30">
        <v>0.43469262123107899</v>
      </c>
      <c r="S30">
        <v>0.22952285408973699</v>
      </c>
      <c r="T30">
        <v>1</v>
      </c>
      <c r="U30" t="s">
        <v>164</v>
      </c>
      <c r="V30" t="s">
        <v>39</v>
      </c>
      <c r="W30">
        <v>1.0964998435751401</v>
      </c>
      <c r="X30">
        <v>6</v>
      </c>
      <c r="Y30">
        <v>5</v>
      </c>
      <c r="Z30" t="s">
        <v>161</v>
      </c>
      <c r="AA30" t="s">
        <v>113</v>
      </c>
      <c r="AB30">
        <v>0.78395115999999998</v>
      </c>
      <c r="AC30">
        <v>0.72355389999999997</v>
      </c>
      <c r="AD30">
        <v>0.75375250000000005</v>
      </c>
      <c r="AE30">
        <v>0.14869537999999999</v>
      </c>
      <c r="AF30">
        <v>0.20194403999999999</v>
      </c>
      <c r="AG30">
        <v>0.17531969999999999</v>
      </c>
      <c r="AH30" t="s">
        <v>102</v>
      </c>
      <c r="AI30" t="s">
        <v>165</v>
      </c>
      <c r="AJ30" t="s">
        <v>61</v>
      </c>
    </row>
    <row r="31" spans="1:36" x14ac:dyDescent="0.2">
      <c r="A31">
        <v>29</v>
      </c>
      <c r="B31" t="s">
        <v>155</v>
      </c>
      <c r="C31" t="s">
        <v>166</v>
      </c>
      <c r="E31" t="s">
        <v>46</v>
      </c>
      <c r="I31" t="b">
        <f t="shared" si="0"/>
        <v>0</v>
      </c>
      <c r="J31">
        <v>3.1914893537759802E-2</v>
      </c>
      <c r="K31">
        <v>0</v>
      </c>
      <c r="M31">
        <v>4.6337060630321503E-2</v>
      </c>
      <c r="N31">
        <v>1.07029639184475E-2</v>
      </c>
      <c r="O31">
        <v>6</v>
      </c>
      <c r="P31">
        <v>0</v>
      </c>
      <c r="W31">
        <v>1.0883581709344099</v>
      </c>
      <c r="X31">
        <v>6</v>
      </c>
      <c r="Y31">
        <v>4</v>
      </c>
      <c r="Z31" t="s">
        <v>161</v>
      </c>
      <c r="AA31" t="s">
        <v>167</v>
      </c>
      <c r="AB31">
        <v>0.78395115999999998</v>
      </c>
      <c r="AC31">
        <v>0.79401772999999998</v>
      </c>
      <c r="AD31">
        <v>0.78898440000000003</v>
      </c>
      <c r="AE31">
        <v>0.14869537999999999</v>
      </c>
      <c r="AF31">
        <v>0.15315132000000001</v>
      </c>
      <c r="AG31">
        <v>0.15092333999999999</v>
      </c>
      <c r="AH31" t="s">
        <v>72</v>
      </c>
      <c r="AI31" t="s">
        <v>76</v>
      </c>
      <c r="AJ31" t="s">
        <v>40</v>
      </c>
    </row>
    <row r="32" spans="1:36" x14ac:dyDescent="0.2">
      <c r="A32">
        <v>30</v>
      </c>
      <c r="B32" t="s">
        <v>168</v>
      </c>
      <c r="C32" t="s">
        <v>169</v>
      </c>
      <c r="E32" t="s">
        <v>35</v>
      </c>
      <c r="F32" t="s">
        <v>170</v>
      </c>
      <c r="G32" t="s">
        <v>171</v>
      </c>
      <c r="I32" t="b">
        <f t="shared" si="0"/>
        <v>1</v>
      </c>
      <c r="J32">
        <v>5.3435113281011602E-2</v>
      </c>
      <c r="K32">
        <v>1.3135694898665E-2</v>
      </c>
      <c r="L32">
        <v>4.5871559530496597E-2</v>
      </c>
      <c r="M32">
        <v>0.32934501767158503</v>
      </c>
      <c r="N32">
        <v>0.17241623997688299</v>
      </c>
      <c r="O32">
        <v>7</v>
      </c>
      <c r="P32">
        <v>1.43179070949554</v>
      </c>
      <c r="Q32">
        <v>0.64317333698272705</v>
      </c>
      <c r="R32">
        <v>0.48738691210746798</v>
      </c>
      <c r="S32">
        <v>0.5</v>
      </c>
      <c r="T32">
        <v>0.57271629571914695</v>
      </c>
      <c r="U32" t="s">
        <v>172</v>
      </c>
      <c r="V32" t="s">
        <v>173</v>
      </c>
      <c r="W32">
        <v>1.1835144178330299</v>
      </c>
      <c r="X32">
        <v>6</v>
      </c>
      <c r="Y32">
        <v>8</v>
      </c>
      <c r="Z32" t="s">
        <v>174</v>
      </c>
      <c r="AA32" t="s">
        <v>171</v>
      </c>
      <c r="AB32">
        <v>0.79228889999999996</v>
      </c>
      <c r="AC32">
        <v>0.77999189999999996</v>
      </c>
      <c r="AD32">
        <v>0.78614044000000005</v>
      </c>
      <c r="AE32">
        <v>9.7811274000000004E-2</v>
      </c>
      <c r="AF32">
        <v>0.22926067999999999</v>
      </c>
      <c r="AG32">
        <v>0.16353598</v>
      </c>
      <c r="AJ32" t="s">
        <v>44</v>
      </c>
    </row>
    <row r="33" spans="1:36" x14ac:dyDescent="0.2">
      <c r="A33">
        <v>31</v>
      </c>
      <c r="B33" t="s">
        <v>168</v>
      </c>
      <c r="C33" t="s">
        <v>175</v>
      </c>
      <c r="E33" t="s">
        <v>42</v>
      </c>
      <c r="F33" t="s">
        <v>174</v>
      </c>
      <c r="G33" t="s">
        <v>176</v>
      </c>
      <c r="I33" t="b">
        <f t="shared" si="0"/>
        <v>1</v>
      </c>
      <c r="J33">
        <v>0</v>
      </c>
      <c r="K33">
        <v>2.3990033194422701E-2</v>
      </c>
      <c r="L33">
        <v>0.14018692076206199</v>
      </c>
      <c r="M33">
        <v>5.8288667351007503E-2</v>
      </c>
      <c r="N33">
        <v>4.0831357240676901E-2</v>
      </c>
      <c r="O33">
        <v>0</v>
      </c>
      <c r="P33">
        <v>2.56693339347839</v>
      </c>
      <c r="Q33">
        <v>0.67331075668335005</v>
      </c>
      <c r="R33">
        <v>0.25105306506156899</v>
      </c>
      <c r="S33">
        <v>0.5</v>
      </c>
      <c r="T33">
        <v>0.34225779771804798</v>
      </c>
      <c r="U33" t="s">
        <v>177</v>
      </c>
      <c r="V33" t="s">
        <v>178</v>
      </c>
      <c r="W33">
        <v>1.30734233658823</v>
      </c>
      <c r="X33">
        <v>6</v>
      </c>
      <c r="Y33">
        <v>6</v>
      </c>
      <c r="Z33" t="s">
        <v>174</v>
      </c>
      <c r="AA33" t="s">
        <v>179</v>
      </c>
      <c r="AB33">
        <v>0.79228889999999996</v>
      </c>
      <c r="AC33">
        <v>0.68751720000000005</v>
      </c>
      <c r="AD33">
        <v>0.73990310000000004</v>
      </c>
      <c r="AE33">
        <v>9.7811274000000004E-2</v>
      </c>
      <c r="AF33">
        <v>4.2202047999999999E-2</v>
      </c>
      <c r="AG33">
        <v>7.0006659999999998E-2</v>
      </c>
      <c r="AJ33" t="s">
        <v>48</v>
      </c>
    </row>
    <row r="34" spans="1:36" x14ac:dyDescent="0.2">
      <c r="A34">
        <v>32</v>
      </c>
      <c r="B34" t="s">
        <v>168</v>
      </c>
      <c r="C34" t="s">
        <v>180</v>
      </c>
      <c r="D34" t="s">
        <v>72</v>
      </c>
      <c r="E34" t="s">
        <v>46</v>
      </c>
      <c r="I34" t="b">
        <f t="shared" si="0"/>
        <v>1</v>
      </c>
      <c r="J34">
        <v>3.05343512445688E-2</v>
      </c>
      <c r="K34">
        <v>0</v>
      </c>
      <c r="M34">
        <v>6.3394062221050304E-2</v>
      </c>
      <c r="N34">
        <v>8.5873976349830003E-3</v>
      </c>
      <c r="O34">
        <v>4</v>
      </c>
      <c r="P34">
        <v>0</v>
      </c>
      <c r="W34">
        <v>1.26111351509717</v>
      </c>
      <c r="X34">
        <v>6</v>
      </c>
      <c r="Y34">
        <v>8</v>
      </c>
      <c r="Z34" t="s">
        <v>174</v>
      </c>
      <c r="AA34" t="s">
        <v>181</v>
      </c>
      <c r="AB34">
        <v>0.79228889999999996</v>
      </c>
      <c r="AC34">
        <v>0.61324880000000004</v>
      </c>
      <c r="AD34">
        <v>0.70276886000000005</v>
      </c>
      <c r="AE34">
        <v>9.7811274000000004E-2</v>
      </c>
      <c r="AF34">
        <v>6.620239E-2</v>
      </c>
      <c r="AG34">
        <v>8.2006830000000003E-2</v>
      </c>
      <c r="AJ34" t="s">
        <v>61</v>
      </c>
    </row>
    <row r="35" spans="1:36" x14ac:dyDescent="0.2">
      <c r="A35">
        <v>33</v>
      </c>
      <c r="B35" t="s">
        <v>182</v>
      </c>
      <c r="C35" t="s">
        <v>183</v>
      </c>
      <c r="E35" t="s">
        <v>35</v>
      </c>
      <c r="F35" t="s">
        <v>184</v>
      </c>
      <c r="G35" t="s">
        <v>185</v>
      </c>
      <c r="I35" t="b">
        <f t="shared" si="0"/>
        <v>0</v>
      </c>
      <c r="J35">
        <v>5.5276382714509999E-2</v>
      </c>
      <c r="K35">
        <v>2.06970851868391E-2</v>
      </c>
      <c r="L35">
        <v>8.1395350396633204E-2</v>
      </c>
      <c r="M35">
        <v>0.368356794118881</v>
      </c>
      <c r="N35">
        <v>0.172705948352814</v>
      </c>
      <c r="O35">
        <v>11</v>
      </c>
      <c r="P35">
        <v>1.7799494266510001</v>
      </c>
      <c r="Q35">
        <v>0.486898154020309</v>
      </c>
      <c r="R35">
        <v>0.484443068504334</v>
      </c>
      <c r="S35">
        <v>1</v>
      </c>
      <c r="T35">
        <v>0.25427848100662198</v>
      </c>
      <c r="U35" t="s">
        <v>39</v>
      </c>
      <c r="V35" t="s">
        <v>186</v>
      </c>
      <c r="W35">
        <v>0.90734396224569502</v>
      </c>
      <c r="X35">
        <v>6</v>
      </c>
      <c r="Y35">
        <v>6</v>
      </c>
      <c r="Z35" t="s">
        <v>184</v>
      </c>
      <c r="AA35" t="s">
        <v>187</v>
      </c>
      <c r="AB35">
        <v>0.7808657</v>
      </c>
      <c r="AC35">
        <v>0.70733190000000001</v>
      </c>
      <c r="AD35">
        <v>0.74409879999999995</v>
      </c>
      <c r="AE35">
        <v>0.24590074000000001</v>
      </c>
      <c r="AF35">
        <v>0.66647650000000003</v>
      </c>
      <c r="AG35">
        <v>0.45618861999999999</v>
      </c>
      <c r="AJ35" t="s">
        <v>44</v>
      </c>
    </row>
    <row r="36" spans="1:36" x14ac:dyDescent="0.2">
      <c r="A36">
        <v>34</v>
      </c>
      <c r="B36" t="s">
        <v>182</v>
      </c>
      <c r="C36" t="s">
        <v>188</v>
      </c>
      <c r="E36" t="s">
        <v>42</v>
      </c>
      <c r="F36" t="s">
        <v>184</v>
      </c>
      <c r="G36" t="s">
        <v>189</v>
      </c>
      <c r="I36" t="b">
        <f t="shared" si="0"/>
        <v>0</v>
      </c>
      <c r="J36">
        <v>0</v>
      </c>
      <c r="K36">
        <v>4.65116277337074E-2</v>
      </c>
      <c r="L36">
        <v>4.65116277337074E-2</v>
      </c>
      <c r="M36">
        <v>4.8020128160715103E-2</v>
      </c>
      <c r="N36">
        <v>0.169100001454353</v>
      </c>
      <c r="O36">
        <v>0</v>
      </c>
      <c r="P36">
        <v>4</v>
      </c>
      <c r="Q36">
        <v>0.486898154020309</v>
      </c>
      <c r="R36">
        <v>0.48106569051742598</v>
      </c>
      <c r="S36">
        <v>1</v>
      </c>
      <c r="T36">
        <v>1</v>
      </c>
      <c r="U36" t="s">
        <v>39</v>
      </c>
      <c r="V36" t="s">
        <v>39</v>
      </c>
      <c r="W36">
        <v>0.99091277552443102</v>
      </c>
      <c r="X36">
        <v>6</v>
      </c>
      <c r="Y36">
        <v>8</v>
      </c>
      <c r="Z36" t="s">
        <v>184</v>
      </c>
      <c r="AA36" t="s">
        <v>189</v>
      </c>
      <c r="AB36">
        <v>0.7808657</v>
      </c>
      <c r="AC36">
        <v>0.80417680000000002</v>
      </c>
      <c r="AD36">
        <v>0.79252124000000002</v>
      </c>
      <c r="AE36">
        <v>0.24590074000000001</v>
      </c>
      <c r="AF36">
        <v>0.54852299999999998</v>
      </c>
      <c r="AG36">
        <v>0.39721188000000002</v>
      </c>
      <c r="AJ36" t="s">
        <v>48</v>
      </c>
    </row>
    <row r="37" spans="1:36" x14ac:dyDescent="0.2">
      <c r="A37">
        <v>35</v>
      </c>
      <c r="B37" t="s">
        <v>182</v>
      </c>
      <c r="C37" t="s">
        <v>190</v>
      </c>
      <c r="E37" t="s">
        <v>46</v>
      </c>
      <c r="I37" t="b">
        <f t="shared" si="0"/>
        <v>0</v>
      </c>
      <c r="J37">
        <v>4.0201004594564403E-2</v>
      </c>
      <c r="K37">
        <v>0</v>
      </c>
      <c r="M37">
        <v>8.8713936507701902E-2</v>
      </c>
      <c r="N37">
        <v>1.42333339899778E-2</v>
      </c>
      <c r="O37">
        <v>8</v>
      </c>
      <c r="P37">
        <v>0</v>
      </c>
      <c r="W37">
        <v>1.0341331367861899</v>
      </c>
      <c r="X37">
        <v>6</v>
      </c>
      <c r="Y37">
        <v>6</v>
      </c>
      <c r="Z37" t="s">
        <v>184</v>
      </c>
      <c r="AA37" t="s">
        <v>191</v>
      </c>
      <c r="AB37">
        <v>0.7808657</v>
      </c>
      <c r="AC37">
        <v>0.75889609999999996</v>
      </c>
      <c r="AD37">
        <v>0.76988089999999998</v>
      </c>
      <c r="AE37">
        <v>0.24590074000000001</v>
      </c>
      <c r="AF37">
        <v>0.55002903999999997</v>
      </c>
      <c r="AG37">
        <v>0.39796490000000001</v>
      </c>
      <c r="AJ37" t="s">
        <v>61</v>
      </c>
    </row>
    <row r="38" spans="1:36" x14ac:dyDescent="0.2">
      <c r="A38">
        <v>36</v>
      </c>
      <c r="B38" t="s">
        <v>192</v>
      </c>
      <c r="C38" t="s">
        <v>193</v>
      </c>
      <c r="D38" t="s">
        <v>72</v>
      </c>
      <c r="E38" t="s">
        <v>35</v>
      </c>
      <c r="F38" t="s">
        <v>194</v>
      </c>
      <c r="G38" t="s">
        <v>195</v>
      </c>
      <c r="I38" t="b">
        <f t="shared" si="0"/>
        <v>1</v>
      </c>
      <c r="J38">
        <v>0.21982759237289401</v>
      </c>
      <c r="K38">
        <v>2.0449677482247401E-2</v>
      </c>
      <c r="L38">
        <v>0.18918919563293499</v>
      </c>
      <c r="M38">
        <v>0.276010602712631</v>
      </c>
      <c r="N38">
        <v>3.9602629840374E-2</v>
      </c>
      <c r="O38">
        <v>51</v>
      </c>
      <c r="P38">
        <v>1.5132762193679801</v>
      </c>
      <c r="Q38">
        <v>0.37527820467948902</v>
      </c>
      <c r="R38">
        <v>0.41621613502502403</v>
      </c>
      <c r="S38">
        <v>0.32652816176414501</v>
      </c>
      <c r="T38">
        <v>0.33103165030479398</v>
      </c>
      <c r="U38" t="s">
        <v>196</v>
      </c>
      <c r="V38" t="s">
        <v>197</v>
      </c>
      <c r="W38">
        <v>1.06787546037641</v>
      </c>
      <c r="X38">
        <v>4</v>
      </c>
      <c r="Y38">
        <v>5</v>
      </c>
      <c r="Z38" t="s">
        <v>198</v>
      </c>
      <c r="AA38" t="s">
        <v>199</v>
      </c>
      <c r="AB38">
        <v>0.69735515000000003</v>
      </c>
      <c r="AC38">
        <v>0.74463080000000004</v>
      </c>
      <c r="AD38">
        <v>0.72099299999999999</v>
      </c>
      <c r="AE38">
        <v>0.19988122999999999</v>
      </c>
      <c r="AF38">
        <v>8.8426850000000001E-2</v>
      </c>
      <c r="AG38">
        <v>0.14415404000000001</v>
      </c>
      <c r="AJ38" t="s">
        <v>40</v>
      </c>
    </row>
    <row r="39" spans="1:36" x14ac:dyDescent="0.2">
      <c r="A39">
        <v>37</v>
      </c>
      <c r="B39" t="s">
        <v>192</v>
      </c>
      <c r="C39" t="s">
        <v>200</v>
      </c>
      <c r="E39" t="s">
        <v>42</v>
      </c>
      <c r="F39" t="s">
        <v>198</v>
      </c>
      <c r="G39" t="s">
        <v>201</v>
      </c>
      <c r="I39" t="b">
        <f t="shared" si="0"/>
        <v>1</v>
      </c>
      <c r="J39">
        <v>0</v>
      </c>
      <c r="K39">
        <v>1.39673938974738E-2</v>
      </c>
      <c r="L39">
        <v>4.4943820685148198E-2</v>
      </c>
      <c r="M39">
        <v>4.2959898710250903E-2</v>
      </c>
      <c r="N39">
        <v>9.2051409184932695E-2</v>
      </c>
      <c r="O39">
        <v>0</v>
      </c>
      <c r="P39">
        <v>1.24309802055359</v>
      </c>
      <c r="Q39">
        <v>0.56580322980880704</v>
      </c>
      <c r="R39">
        <v>0.246595963835716</v>
      </c>
      <c r="S39">
        <v>0.67347180843353305</v>
      </c>
      <c r="T39">
        <v>0.46145141124725297</v>
      </c>
      <c r="U39" t="s">
        <v>202</v>
      </c>
      <c r="V39" t="s">
        <v>203</v>
      </c>
      <c r="W39">
        <v>0.68775901847874299</v>
      </c>
      <c r="X39">
        <v>4</v>
      </c>
      <c r="Y39">
        <v>5</v>
      </c>
      <c r="Z39" t="s">
        <v>198</v>
      </c>
      <c r="AA39" t="s">
        <v>201</v>
      </c>
      <c r="AB39">
        <v>0.69735515000000003</v>
      </c>
      <c r="AC39">
        <v>0.68003773999999995</v>
      </c>
      <c r="AD39">
        <v>0.68869643999999997</v>
      </c>
      <c r="AE39">
        <v>0.19988122999999999</v>
      </c>
      <c r="AF39">
        <v>8.1686060000000005E-2</v>
      </c>
      <c r="AG39">
        <v>0.14078363999999999</v>
      </c>
      <c r="AJ39" t="s">
        <v>44</v>
      </c>
    </row>
    <row r="40" spans="1:36" x14ac:dyDescent="0.2">
      <c r="A40">
        <v>38</v>
      </c>
      <c r="B40" t="s">
        <v>192</v>
      </c>
      <c r="C40" t="s">
        <v>204</v>
      </c>
      <c r="E40" t="s">
        <v>46</v>
      </c>
      <c r="I40" t="b">
        <f t="shared" si="0"/>
        <v>1</v>
      </c>
      <c r="J40">
        <v>0.120689652860165</v>
      </c>
      <c r="K40">
        <v>0</v>
      </c>
      <c r="M40">
        <v>0.21122011542320299</v>
      </c>
      <c r="N40">
        <v>1.08932387083769E-2</v>
      </c>
      <c r="O40">
        <v>28</v>
      </c>
      <c r="P40">
        <v>0</v>
      </c>
      <c r="W40">
        <v>0.39156232258412799</v>
      </c>
      <c r="X40">
        <v>4</v>
      </c>
      <c r="Y40">
        <v>4</v>
      </c>
      <c r="Z40" t="s">
        <v>198</v>
      </c>
      <c r="AA40" t="s">
        <v>205</v>
      </c>
      <c r="AB40">
        <v>0.69735515000000003</v>
      </c>
      <c r="AC40">
        <v>0.78983455999999996</v>
      </c>
      <c r="AD40">
        <v>0.74359489999999995</v>
      </c>
      <c r="AE40">
        <v>0.19988122999999999</v>
      </c>
      <c r="AF40">
        <v>0.33836442</v>
      </c>
      <c r="AG40">
        <v>0.26912283999999997</v>
      </c>
      <c r="AJ40" t="s">
        <v>48</v>
      </c>
    </row>
    <row r="41" spans="1:36" x14ac:dyDescent="0.2">
      <c r="A41">
        <v>39</v>
      </c>
      <c r="B41" t="s">
        <v>206</v>
      </c>
      <c r="C41" t="s">
        <v>207</v>
      </c>
      <c r="E41" t="s">
        <v>35</v>
      </c>
      <c r="F41" t="s">
        <v>208</v>
      </c>
      <c r="G41" t="s">
        <v>209</v>
      </c>
      <c r="I41" t="b">
        <f t="shared" si="0"/>
        <v>0</v>
      </c>
      <c r="J41">
        <v>0.110526315867901</v>
      </c>
      <c r="K41">
        <v>2.5491395965218499E-2</v>
      </c>
      <c r="L41">
        <v>0.16037735342979401</v>
      </c>
      <c r="M41">
        <v>0.31608670949935902</v>
      </c>
      <c r="N41">
        <v>0.16825403273105599</v>
      </c>
      <c r="O41">
        <v>21</v>
      </c>
      <c r="P41">
        <v>2.70208787918091</v>
      </c>
      <c r="Q41">
        <v>0.28596687316894498</v>
      </c>
      <c r="R41">
        <v>0.45174866914749101</v>
      </c>
      <c r="S41">
        <v>0.49728140234947199</v>
      </c>
      <c r="T41">
        <v>0.31963059306144698</v>
      </c>
      <c r="U41" t="s">
        <v>210</v>
      </c>
      <c r="V41" t="s">
        <v>211</v>
      </c>
      <c r="W41">
        <v>0.91412849207788005</v>
      </c>
      <c r="X41">
        <v>4</v>
      </c>
      <c r="Y41">
        <v>5</v>
      </c>
      <c r="Z41" t="s">
        <v>212</v>
      </c>
      <c r="AA41" t="s">
        <v>213</v>
      </c>
      <c r="AB41">
        <v>0.64058990000000005</v>
      </c>
      <c r="AC41">
        <v>0.80757659999999998</v>
      </c>
      <c r="AD41">
        <v>0.72408324000000002</v>
      </c>
      <c r="AE41">
        <v>0.25464034000000002</v>
      </c>
      <c r="AF41">
        <v>0.68876769999999998</v>
      </c>
      <c r="AG41">
        <v>0.47170400000000001</v>
      </c>
      <c r="AJ41" t="s">
        <v>61</v>
      </c>
    </row>
    <row r="42" spans="1:36" x14ac:dyDescent="0.2">
      <c r="A42">
        <v>40</v>
      </c>
      <c r="B42" t="s">
        <v>206</v>
      </c>
      <c r="C42" t="s">
        <v>214</v>
      </c>
      <c r="E42" t="s">
        <v>42</v>
      </c>
      <c r="F42" t="s">
        <v>212</v>
      </c>
      <c r="G42" t="s">
        <v>215</v>
      </c>
      <c r="I42" t="b">
        <f t="shared" si="0"/>
        <v>0</v>
      </c>
      <c r="J42">
        <v>0</v>
      </c>
      <c r="K42">
        <v>2.8726775199174898E-2</v>
      </c>
      <c r="L42">
        <v>5.7142857462167698E-2</v>
      </c>
      <c r="M42">
        <v>6.25597909092903E-2</v>
      </c>
      <c r="N42">
        <v>0.176001772284508</v>
      </c>
      <c r="O42">
        <v>0</v>
      </c>
      <c r="P42">
        <v>2.01087427139282</v>
      </c>
      <c r="Q42">
        <v>0.351003527641296</v>
      </c>
      <c r="R42">
        <v>0.27181097865104697</v>
      </c>
      <c r="S42">
        <v>0.50271856784820601</v>
      </c>
      <c r="T42">
        <v>1</v>
      </c>
      <c r="U42" t="s">
        <v>216</v>
      </c>
      <c r="V42" t="s">
        <v>39</v>
      </c>
      <c r="W42">
        <v>0.66492517011860697</v>
      </c>
      <c r="X42">
        <v>4</v>
      </c>
      <c r="Y42">
        <v>3</v>
      </c>
      <c r="Z42" t="s">
        <v>212</v>
      </c>
      <c r="AA42" t="s">
        <v>215</v>
      </c>
      <c r="AB42">
        <v>0.64058990000000005</v>
      </c>
      <c r="AC42">
        <v>0.61934423000000005</v>
      </c>
      <c r="AD42">
        <v>0.6299671</v>
      </c>
      <c r="AE42">
        <v>0.25464034000000002</v>
      </c>
      <c r="AF42">
        <v>0.27350669999999999</v>
      </c>
      <c r="AG42">
        <v>0.26407352000000001</v>
      </c>
      <c r="AJ42" t="s">
        <v>40</v>
      </c>
    </row>
    <row r="43" spans="1:36" x14ac:dyDescent="0.2">
      <c r="A43">
        <v>41</v>
      </c>
      <c r="B43" t="s">
        <v>206</v>
      </c>
      <c r="C43" t="s">
        <v>217</v>
      </c>
      <c r="E43" t="s">
        <v>46</v>
      </c>
      <c r="I43" t="b">
        <f t="shared" si="0"/>
        <v>0</v>
      </c>
      <c r="J43">
        <v>8.9473687112331404E-2</v>
      </c>
      <c r="K43">
        <v>0</v>
      </c>
      <c r="M43">
        <v>0.376652091741562</v>
      </c>
      <c r="N43">
        <v>2.7146803215146099E-2</v>
      </c>
      <c r="O43">
        <v>17</v>
      </c>
      <c r="P43">
        <v>0</v>
      </c>
      <c r="W43">
        <v>0.32152653857651797</v>
      </c>
      <c r="X43">
        <v>4</v>
      </c>
      <c r="Y43">
        <v>4</v>
      </c>
      <c r="Z43" t="s">
        <v>212</v>
      </c>
      <c r="AA43" t="s">
        <v>218</v>
      </c>
      <c r="AB43">
        <v>0.64058990000000005</v>
      </c>
      <c r="AC43">
        <v>0.85648559999999996</v>
      </c>
      <c r="AD43">
        <v>0.74853780000000003</v>
      </c>
      <c r="AE43">
        <v>0.25464034000000002</v>
      </c>
      <c r="AF43">
        <v>0.54908820000000003</v>
      </c>
      <c r="AG43">
        <v>0.40186425999999997</v>
      </c>
      <c r="AJ43" t="s">
        <v>44</v>
      </c>
    </row>
    <row r="44" spans="1:36" x14ac:dyDescent="0.2">
      <c r="A44">
        <v>42</v>
      </c>
      <c r="B44" t="s">
        <v>219</v>
      </c>
      <c r="C44" t="s">
        <v>220</v>
      </c>
      <c r="D44" t="s">
        <v>72</v>
      </c>
      <c r="E44" t="s">
        <v>35</v>
      </c>
      <c r="F44" t="s">
        <v>221</v>
      </c>
      <c r="G44" t="s">
        <v>222</v>
      </c>
      <c r="I44" t="b">
        <f t="shared" si="0"/>
        <v>1</v>
      </c>
      <c r="J44">
        <v>6.5989844501018496E-2</v>
      </c>
      <c r="K44">
        <v>0.148936167359352</v>
      </c>
      <c r="L44">
        <v>0.148936167359352</v>
      </c>
      <c r="M44">
        <v>0.195701479911804</v>
      </c>
      <c r="N44">
        <v>0.270099997520447</v>
      </c>
      <c r="O44">
        <v>13</v>
      </c>
      <c r="P44">
        <v>14</v>
      </c>
      <c r="Q44">
        <v>0.57249653339385997</v>
      </c>
      <c r="R44">
        <v>0.55068194866180398</v>
      </c>
      <c r="S44">
        <v>1</v>
      </c>
      <c r="T44">
        <v>1</v>
      </c>
      <c r="U44" t="s">
        <v>39</v>
      </c>
      <c r="V44" t="s">
        <v>39</v>
      </c>
      <c r="W44">
        <v>1.2193128643504501</v>
      </c>
      <c r="X44">
        <v>5</v>
      </c>
      <c r="Y44">
        <v>7</v>
      </c>
      <c r="Z44" t="s">
        <v>221</v>
      </c>
      <c r="AA44" t="s">
        <v>222</v>
      </c>
      <c r="AB44">
        <v>0.76855430000000002</v>
      </c>
      <c r="AC44">
        <v>0.78706600000000004</v>
      </c>
      <c r="AD44">
        <v>0.77781009999999995</v>
      </c>
      <c r="AE44">
        <v>0.2512124</v>
      </c>
      <c r="AF44">
        <v>0.16315109</v>
      </c>
      <c r="AG44">
        <v>0.20718174</v>
      </c>
      <c r="AJ44" t="s">
        <v>61</v>
      </c>
    </row>
    <row r="45" spans="1:36" x14ac:dyDescent="0.2">
      <c r="A45">
        <v>43</v>
      </c>
      <c r="B45" t="s">
        <v>219</v>
      </c>
      <c r="C45" t="s">
        <v>223</v>
      </c>
      <c r="E45" t="s">
        <v>42</v>
      </c>
      <c r="F45" t="s">
        <v>221</v>
      </c>
      <c r="G45" t="s">
        <v>185</v>
      </c>
      <c r="I45" t="b">
        <f t="shared" si="0"/>
        <v>1</v>
      </c>
      <c r="J45">
        <v>0</v>
      </c>
      <c r="K45">
        <v>3.0501727014779999E-2</v>
      </c>
      <c r="L45">
        <v>5.3191490471363102E-2</v>
      </c>
      <c r="M45">
        <v>4.2221501469612101E-2</v>
      </c>
      <c r="N45">
        <v>0.11571867018938101</v>
      </c>
      <c r="O45">
        <v>0</v>
      </c>
      <c r="P45">
        <v>2.8671622276306201</v>
      </c>
      <c r="Q45">
        <v>0.57249653339385997</v>
      </c>
      <c r="R45">
        <v>0.29639384150505099</v>
      </c>
      <c r="S45">
        <v>1</v>
      </c>
      <c r="T45">
        <v>0.57343244552612305</v>
      </c>
      <c r="U45" t="s">
        <v>39</v>
      </c>
      <c r="V45" t="s">
        <v>224</v>
      </c>
      <c r="W45">
        <v>1.2415755598698599</v>
      </c>
      <c r="X45">
        <v>5</v>
      </c>
      <c r="Y45">
        <v>4</v>
      </c>
      <c r="Z45" t="s">
        <v>221</v>
      </c>
      <c r="AA45" t="s">
        <v>185</v>
      </c>
      <c r="AB45">
        <v>0.76855430000000002</v>
      </c>
      <c r="AC45">
        <v>0.57003219999999999</v>
      </c>
      <c r="AD45">
        <v>0.66929320000000003</v>
      </c>
      <c r="AE45">
        <v>0.2512124</v>
      </c>
      <c r="AF45">
        <v>8.1725149999999996E-2</v>
      </c>
      <c r="AG45">
        <v>0.16646876999999999</v>
      </c>
      <c r="AJ45" t="s">
        <v>40</v>
      </c>
    </row>
    <row r="46" spans="1:36" x14ac:dyDescent="0.2">
      <c r="A46">
        <v>44</v>
      </c>
      <c r="B46" t="s">
        <v>219</v>
      </c>
      <c r="C46" t="s">
        <v>225</v>
      </c>
      <c r="E46" t="s">
        <v>46</v>
      </c>
      <c r="I46" t="b">
        <f t="shared" si="0"/>
        <v>1</v>
      </c>
      <c r="J46">
        <v>1.52284260839224E-2</v>
      </c>
      <c r="K46">
        <v>0</v>
      </c>
      <c r="M46">
        <v>0.15411540865898099</v>
      </c>
      <c r="N46">
        <v>2.3046188056468998E-2</v>
      </c>
      <c r="O46">
        <v>3</v>
      </c>
      <c r="P46">
        <v>0</v>
      </c>
      <c r="W46">
        <v>1.42702348906244</v>
      </c>
      <c r="X46">
        <v>5</v>
      </c>
      <c r="Y46">
        <v>5</v>
      </c>
      <c r="Z46" t="s">
        <v>221</v>
      </c>
      <c r="AA46" t="s">
        <v>226</v>
      </c>
      <c r="AB46">
        <v>0.76855430000000002</v>
      </c>
      <c r="AC46">
        <v>0.67404330000000001</v>
      </c>
      <c r="AD46">
        <v>0.72129880000000002</v>
      </c>
      <c r="AE46">
        <v>0.2512124</v>
      </c>
      <c r="AF46">
        <v>0.26643600000000001</v>
      </c>
      <c r="AG46">
        <v>0.2588242</v>
      </c>
      <c r="AJ46" t="s">
        <v>44</v>
      </c>
    </row>
    <row r="47" spans="1:36" x14ac:dyDescent="0.2">
      <c r="A47">
        <v>45</v>
      </c>
      <c r="B47" t="s">
        <v>227</v>
      </c>
      <c r="C47" t="s">
        <v>228</v>
      </c>
      <c r="E47" t="s">
        <v>35</v>
      </c>
      <c r="F47" t="s">
        <v>229</v>
      </c>
      <c r="G47" t="s">
        <v>230</v>
      </c>
      <c r="I47" t="b">
        <f t="shared" si="0"/>
        <v>0</v>
      </c>
      <c r="J47">
        <v>2.5862069800496101E-2</v>
      </c>
      <c r="K47">
        <v>1.35000329464674E-2</v>
      </c>
      <c r="L47">
        <v>6.9767445325851399E-2</v>
      </c>
      <c r="M47">
        <v>7.5140193104743999E-2</v>
      </c>
      <c r="N47">
        <v>3.6261986941099202E-2</v>
      </c>
      <c r="O47">
        <v>3</v>
      </c>
      <c r="P47">
        <v>1.1610027551651001</v>
      </c>
      <c r="Q47">
        <v>0.46412014961242698</v>
      </c>
      <c r="R47">
        <v>0.54943203926086404</v>
      </c>
      <c r="S47">
        <v>0.389893859624863</v>
      </c>
      <c r="T47">
        <v>0.49629011750221302</v>
      </c>
      <c r="U47" t="s">
        <v>231</v>
      </c>
      <c r="V47" t="s">
        <v>232</v>
      </c>
      <c r="W47">
        <v>0.71738140688553698</v>
      </c>
      <c r="X47">
        <v>5</v>
      </c>
      <c r="Y47">
        <v>5</v>
      </c>
      <c r="Z47" t="s">
        <v>229</v>
      </c>
      <c r="AA47" t="s">
        <v>233</v>
      </c>
      <c r="AB47">
        <v>0.75537825000000003</v>
      </c>
      <c r="AC47">
        <v>0.77567595</v>
      </c>
      <c r="AD47">
        <v>0.76552710000000002</v>
      </c>
      <c r="AE47">
        <v>0.26593341999999998</v>
      </c>
      <c r="AF47">
        <v>0.32191510000000001</v>
      </c>
      <c r="AG47">
        <v>0.29392426999999999</v>
      </c>
      <c r="AJ47" t="s">
        <v>44</v>
      </c>
    </row>
    <row r="48" spans="1:36" x14ac:dyDescent="0.2">
      <c r="A48">
        <v>46</v>
      </c>
      <c r="B48" t="s">
        <v>227</v>
      </c>
      <c r="C48" t="s">
        <v>111</v>
      </c>
      <c r="E48" t="s">
        <v>42</v>
      </c>
      <c r="F48" t="s">
        <v>234</v>
      </c>
      <c r="G48" t="s">
        <v>113</v>
      </c>
      <c r="I48" t="b">
        <f t="shared" si="0"/>
        <v>0</v>
      </c>
      <c r="J48">
        <v>0</v>
      </c>
      <c r="K48">
        <v>1.4015922322869301E-2</v>
      </c>
      <c r="L48">
        <v>3.9603959769010502E-2</v>
      </c>
      <c r="M48">
        <v>7.4121348559856401E-2</v>
      </c>
      <c r="N48">
        <v>0.11646916717290901</v>
      </c>
      <c r="O48">
        <v>0</v>
      </c>
      <c r="P48">
        <v>1.4156081676483201</v>
      </c>
      <c r="Q48">
        <v>0.43153265118598899</v>
      </c>
      <c r="R48">
        <v>0.43469262123107899</v>
      </c>
      <c r="S48">
        <v>0.35390204191207902</v>
      </c>
      <c r="T48">
        <v>1</v>
      </c>
      <c r="U48" t="s">
        <v>235</v>
      </c>
      <c r="V48" t="s">
        <v>39</v>
      </c>
      <c r="W48">
        <v>0.18616747121786401</v>
      </c>
      <c r="X48">
        <v>5</v>
      </c>
      <c r="Y48">
        <v>5</v>
      </c>
      <c r="Z48" t="s">
        <v>229</v>
      </c>
      <c r="AA48" t="s">
        <v>113</v>
      </c>
      <c r="AB48">
        <v>0.75537825000000003</v>
      </c>
      <c r="AC48">
        <v>0.72355389999999997</v>
      </c>
      <c r="AD48">
        <v>0.73946610000000002</v>
      </c>
      <c r="AE48">
        <v>0.26593341999999998</v>
      </c>
      <c r="AF48">
        <v>0.20194403999999999</v>
      </c>
      <c r="AG48">
        <v>0.23393871999999999</v>
      </c>
      <c r="AJ48" t="s">
        <v>48</v>
      </c>
    </row>
    <row r="49" spans="1:36" x14ac:dyDescent="0.2">
      <c r="A49">
        <v>47</v>
      </c>
      <c r="B49" t="s">
        <v>227</v>
      </c>
      <c r="C49" t="s">
        <v>236</v>
      </c>
      <c r="E49" t="s">
        <v>46</v>
      </c>
      <c r="I49" t="b">
        <f t="shared" si="0"/>
        <v>0</v>
      </c>
      <c r="J49">
        <v>2.5862069800496101E-2</v>
      </c>
      <c r="K49">
        <v>0</v>
      </c>
      <c r="M49">
        <v>0.128469929099083</v>
      </c>
      <c r="N49">
        <v>1.9065810367464998E-2</v>
      </c>
      <c r="O49">
        <v>3</v>
      </c>
      <c r="P49">
        <v>0</v>
      </c>
      <c r="W49">
        <v>0.93491512103730201</v>
      </c>
      <c r="X49">
        <v>5</v>
      </c>
      <c r="Y49">
        <v>5</v>
      </c>
      <c r="Z49" t="s">
        <v>229</v>
      </c>
      <c r="AA49" t="s">
        <v>237</v>
      </c>
      <c r="AB49">
        <v>0.75537825000000003</v>
      </c>
      <c r="AC49">
        <v>0.77723969999999998</v>
      </c>
      <c r="AD49">
        <v>0.76630896000000004</v>
      </c>
      <c r="AE49">
        <v>0.26593341999999998</v>
      </c>
      <c r="AF49">
        <v>0.24125733999999999</v>
      </c>
      <c r="AG49">
        <v>0.25359537999999998</v>
      </c>
      <c r="AJ49" t="s">
        <v>61</v>
      </c>
    </row>
    <row r="50" spans="1:36" x14ac:dyDescent="0.2">
      <c r="A50">
        <v>48</v>
      </c>
      <c r="B50" t="s">
        <v>238</v>
      </c>
      <c r="C50" t="s">
        <v>239</v>
      </c>
      <c r="E50" t="s">
        <v>35</v>
      </c>
      <c r="F50" t="s">
        <v>240</v>
      </c>
      <c r="G50" t="s">
        <v>241</v>
      </c>
      <c r="I50" t="b">
        <f t="shared" si="0"/>
        <v>0</v>
      </c>
      <c r="J50">
        <v>0.140096619725227</v>
      </c>
      <c r="K50">
        <v>5.4026469588279703E-2</v>
      </c>
      <c r="L50">
        <v>0.15178571641445199</v>
      </c>
      <c r="M50">
        <v>0.37033995985984802</v>
      </c>
      <c r="N50">
        <v>0.17729327082634</v>
      </c>
      <c r="O50">
        <v>29</v>
      </c>
      <c r="P50">
        <v>6.05096435546875</v>
      </c>
      <c r="Q50">
        <v>0.35856705904007002</v>
      </c>
      <c r="R50">
        <v>0.41854500770568898</v>
      </c>
      <c r="S50">
        <v>0.5</v>
      </c>
      <c r="T50">
        <v>0.71187818050384499</v>
      </c>
      <c r="U50" t="s">
        <v>242</v>
      </c>
      <c r="V50" t="s">
        <v>243</v>
      </c>
      <c r="W50">
        <v>1.1944648668859701</v>
      </c>
      <c r="X50">
        <v>5</v>
      </c>
      <c r="Y50">
        <v>4</v>
      </c>
      <c r="Z50" t="s">
        <v>240</v>
      </c>
      <c r="AA50" t="s">
        <v>241</v>
      </c>
      <c r="AB50">
        <v>0.77052580000000004</v>
      </c>
      <c r="AC50">
        <v>0.7357612</v>
      </c>
      <c r="AD50">
        <v>0.75314354999999999</v>
      </c>
      <c r="AE50">
        <v>0.5171616</v>
      </c>
      <c r="AF50">
        <v>0.16517747999999999</v>
      </c>
      <c r="AG50">
        <v>0.34116953999999999</v>
      </c>
      <c r="AJ50" t="s">
        <v>40</v>
      </c>
    </row>
    <row r="51" spans="1:36" x14ac:dyDescent="0.2">
      <c r="A51">
        <v>49</v>
      </c>
      <c r="B51" t="s">
        <v>238</v>
      </c>
      <c r="C51" t="s">
        <v>244</v>
      </c>
      <c r="E51" t="s">
        <v>42</v>
      </c>
      <c r="F51" t="s">
        <v>245</v>
      </c>
      <c r="G51" t="s">
        <v>246</v>
      </c>
      <c r="I51" t="b">
        <f t="shared" si="0"/>
        <v>0</v>
      </c>
      <c r="J51">
        <v>0</v>
      </c>
      <c r="K51">
        <v>8.4872217848896998E-3</v>
      </c>
      <c r="L51">
        <v>0.114754095673561</v>
      </c>
      <c r="M51">
        <v>3.0409127473831201E-2</v>
      </c>
      <c r="N51">
        <v>1.49113973602653E-2</v>
      </c>
      <c r="O51">
        <v>0</v>
      </c>
      <c r="P51">
        <v>1.0354410409927399</v>
      </c>
      <c r="Q51">
        <v>0.27155750989913902</v>
      </c>
      <c r="R51">
        <v>0.21378029882907901</v>
      </c>
      <c r="S51">
        <v>0.5</v>
      </c>
      <c r="T51">
        <v>0.147920146584511</v>
      </c>
      <c r="U51" t="s">
        <v>247</v>
      </c>
      <c r="V51" t="s">
        <v>248</v>
      </c>
      <c r="W51">
        <v>1.1813224017639601</v>
      </c>
      <c r="X51">
        <v>5</v>
      </c>
      <c r="Y51">
        <v>6</v>
      </c>
      <c r="Z51" t="s">
        <v>240</v>
      </c>
      <c r="AA51" t="s">
        <v>249</v>
      </c>
      <c r="AB51">
        <v>0.77052580000000004</v>
      </c>
      <c r="AC51">
        <v>0.68898064000000003</v>
      </c>
      <c r="AD51">
        <v>0.72975325999999996</v>
      </c>
      <c r="AE51">
        <v>0.5171616</v>
      </c>
      <c r="AF51">
        <v>0.26682115000000001</v>
      </c>
      <c r="AG51">
        <v>0.39199138</v>
      </c>
      <c r="AI51" t="s">
        <v>162</v>
      </c>
      <c r="AJ51" t="s">
        <v>44</v>
      </c>
    </row>
    <row r="52" spans="1:36" x14ac:dyDescent="0.2">
      <c r="A52">
        <v>50</v>
      </c>
      <c r="B52" t="s">
        <v>238</v>
      </c>
      <c r="C52" t="s">
        <v>250</v>
      </c>
      <c r="E52" t="s">
        <v>46</v>
      </c>
      <c r="I52" t="b">
        <f t="shared" si="0"/>
        <v>0</v>
      </c>
      <c r="J52">
        <v>2.41545885801315E-2</v>
      </c>
      <c r="K52">
        <v>0</v>
      </c>
      <c r="M52">
        <v>5.9991765767335899E-2</v>
      </c>
      <c r="N52">
        <v>1.85707062482834E-2</v>
      </c>
      <c r="O52">
        <v>5</v>
      </c>
      <c r="P52">
        <v>0</v>
      </c>
      <c r="W52">
        <v>0.51901459287361196</v>
      </c>
      <c r="X52">
        <v>5</v>
      </c>
      <c r="Y52">
        <v>4</v>
      </c>
      <c r="Z52" t="s">
        <v>240</v>
      </c>
      <c r="AA52" t="s">
        <v>251</v>
      </c>
      <c r="AB52">
        <v>0.77052580000000004</v>
      </c>
      <c r="AC52">
        <v>0.60858909999999999</v>
      </c>
      <c r="AD52">
        <v>0.68955743000000003</v>
      </c>
      <c r="AE52">
        <v>0.5171616</v>
      </c>
      <c r="AF52">
        <v>0.17297293</v>
      </c>
      <c r="AG52">
        <v>0.34506725999999999</v>
      </c>
      <c r="AJ52" t="s">
        <v>48</v>
      </c>
    </row>
    <row r="53" spans="1:36" x14ac:dyDescent="0.2">
      <c r="A53">
        <v>51</v>
      </c>
      <c r="B53" t="s">
        <v>252</v>
      </c>
      <c r="C53" t="s">
        <v>253</v>
      </c>
      <c r="E53" t="s">
        <v>35</v>
      </c>
      <c r="F53" t="s">
        <v>254</v>
      </c>
      <c r="G53" t="s">
        <v>255</v>
      </c>
      <c r="I53" t="b">
        <f t="shared" si="0"/>
        <v>0</v>
      </c>
      <c r="J53">
        <v>1.91082805395126E-2</v>
      </c>
      <c r="K53">
        <v>1.32743362337351E-2</v>
      </c>
      <c r="L53">
        <v>2.6548672467470169E-2</v>
      </c>
      <c r="M53">
        <v>0.23141302168369299</v>
      </c>
      <c r="N53">
        <v>0.15000000596046401</v>
      </c>
      <c r="O53">
        <v>3</v>
      </c>
      <c r="P53">
        <v>1.5</v>
      </c>
      <c r="Q53">
        <v>0.61777639389038097</v>
      </c>
      <c r="R53">
        <v>0.60363894701003995</v>
      </c>
      <c r="S53">
        <v>0.5</v>
      </c>
      <c r="T53">
        <v>1</v>
      </c>
      <c r="U53" t="s">
        <v>256</v>
      </c>
      <c r="V53" t="s">
        <v>39</v>
      </c>
      <c r="W53">
        <v>1.35023611617007</v>
      </c>
      <c r="X53">
        <v>4</v>
      </c>
      <c r="Y53">
        <v>6</v>
      </c>
      <c r="Z53" t="s">
        <v>254</v>
      </c>
      <c r="AA53" t="s">
        <v>255</v>
      </c>
      <c r="AB53">
        <v>0.84434620000000005</v>
      </c>
      <c r="AC53">
        <v>0.81132780000000004</v>
      </c>
      <c r="AD53">
        <v>0.82783700000000005</v>
      </c>
      <c r="AE53">
        <v>0.17669687000000001</v>
      </c>
      <c r="AF53">
        <v>0.65508109999999997</v>
      </c>
      <c r="AG53">
        <v>0.41588897000000002</v>
      </c>
      <c r="AH53" t="s">
        <v>72</v>
      </c>
      <c r="AI53" t="s">
        <v>76</v>
      </c>
      <c r="AJ53" t="s">
        <v>44</v>
      </c>
    </row>
    <row r="54" spans="1:36" x14ac:dyDescent="0.2">
      <c r="A54">
        <v>52</v>
      </c>
      <c r="B54" t="s">
        <v>252</v>
      </c>
      <c r="C54" t="s">
        <v>257</v>
      </c>
      <c r="E54" t="s">
        <v>42</v>
      </c>
      <c r="F54" t="s">
        <v>258</v>
      </c>
      <c r="G54" t="s">
        <v>259</v>
      </c>
      <c r="I54" t="b">
        <f t="shared" si="0"/>
        <v>0</v>
      </c>
      <c r="J54">
        <v>0</v>
      </c>
      <c r="K54">
        <v>1.07216406613588E-2</v>
      </c>
      <c r="L54">
        <v>3.66972461342812E-2</v>
      </c>
      <c r="M54">
        <v>4.0999576449394198E-2</v>
      </c>
      <c r="N54">
        <v>6.5123513340949998E-2</v>
      </c>
      <c r="O54">
        <v>0</v>
      </c>
      <c r="P54">
        <v>1.1686588525772099</v>
      </c>
      <c r="Q54">
        <v>0.50557482242584195</v>
      </c>
      <c r="R54">
        <v>0.37627145648002602</v>
      </c>
      <c r="S54">
        <v>0.5</v>
      </c>
      <c r="T54">
        <v>0.58432942628860496</v>
      </c>
      <c r="U54" t="s">
        <v>260</v>
      </c>
      <c r="V54" t="s">
        <v>261</v>
      </c>
      <c r="W54">
        <v>0.97060420380949597</v>
      </c>
      <c r="X54">
        <v>4</v>
      </c>
      <c r="Y54">
        <v>3</v>
      </c>
      <c r="Z54" t="s">
        <v>254</v>
      </c>
      <c r="AA54" t="s">
        <v>259</v>
      </c>
      <c r="AB54">
        <v>0.84434620000000005</v>
      </c>
      <c r="AC54">
        <v>0.72782457</v>
      </c>
      <c r="AD54">
        <v>0.78608537000000001</v>
      </c>
      <c r="AE54">
        <v>0.17669687000000001</v>
      </c>
      <c r="AF54">
        <v>0.30691249999999998</v>
      </c>
      <c r="AG54">
        <v>0.24180468999999999</v>
      </c>
      <c r="AJ54" t="s">
        <v>48</v>
      </c>
    </row>
    <row r="55" spans="1:36" x14ac:dyDescent="0.2">
      <c r="A55">
        <v>53</v>
      </c>
      <c r="B55" t="s">
        <v>252</v>
      </c>
      <c r="C55" t="s">
        <v>262</v>
      </c>
      <c r="E55" t="s">
        <v>46</v>
      </c>
      <c r="I55" t="b">
        <f t="shared" si="0"/>
        <v>0</v>
      </c>
      <c r="J55">
        <v>2.5477707386016801E-2</v>
      </c>
      <c r="K55">
        <v>0</v>
      </c>
      <c r="M55">
        <v>6.7497715353965801E-2</v>
      </c>
      <c r="N55">
        <v>2.39605698734522E-2</v>
      </c>
      <c r="O55">
        <v>4</v>
      </c>
      <c r="P55">
        <v>0</v>
      </c>
      <c r="W55">
        <v>1.3448124344494301</v>
      </c>
      <c r="X55">
        <v>4</v>
      </c>
      <c r="Y55">
        <v>4</v>
      </c>
      <c r="Z55" t="s">
        <v>254</v>
      </c>
      <c r="AA55" t="s">
        <v>263</v>
      </c>
      <c r="AB55">
        <v>0.84434620000000005</v>
      </c>
      <c r="AC55">
        <v>0.73960554999999994</v>
      </c>
      <c r="AD55">
        <v>0.79197585999999998</v>
      </c>
      <c r="AE55">
        <v>0.17669687000000001</v>
      </c>
      <c r="AF55">
        <v>0.19951873000000001</v>
      </c>
      <c r="AG55">
        <v>0.18810779</v>
      </c>
      <c r="AJ55" t="s">
        <v>61</v>
      </c>
    </row>
    <row r="56" spans="1:36" x14ac:dyDescent="0.2">
      <c r="A56">
        <v>54</v>
      </c>
      <c r="B56" t="s">
        <v>264</v>
      </c>
      <c r="C56" t="s">
        <v>265</v>
      </c>
      <c r="E56" t="s">
        <v>35</v>
      </c>
      <c r="F56" t="s">
        <v>266</v>
      </c>
      <c r="G56" t="s">
        <v>267</v>
      </c>
      <c r="I56" t="b">
        <f t="shared" si="0"/>
        <v>1</v>
      </c>
      <c r="J56">
        <v>0.107623316347599</v>
      </c>
      <c r="K56">
        <v>3.2479081302881199E-2</v>
      </c>
      <c r="L56">
        <v>8.2352943718433394E-2</v>
      </c>
      <c r="M56">
        <v>0.17200368642807001</v>
      </c>
      <c r="N56">
        <v>0.136103570461273</v>
      </c>
      <c r="O56">
        <v>24</v>
      </c>
      <c r="P56">
        <v>2.7607216835021999</v>
      </c>
      <c r="Q56">
        <v>0.49936079978942899</v>
      </c>
      <c r="R56">
        <v>0.55774462223053001</v>
      </c>
      <c r="S56">
        <v>0.39438882470130898</v>
      </c>
      <c r="T56">
        <v>1</v>
      </c>
      <c r="U56" t="s">
        <v>268</v>
      </c>
      <c r="V56" t="s">
        <v>39</v>
      </c>
      <c r="W56">
        <v>0.62256485706100195</v>
      </c>
      <c r="X56">
        <v>6</v>
      </c>
      <c r="Y56">
        <v>6</v>
      </c>
      <c r="Z56" t="s">
        <v>266</v>
      </c>
      <c r="AA56" t="s">
        <v>267</v>
      </c>
      <c r="AB56">
        <v>0.80333600000000005</v>
      </c>
      <c r="AC56">
        <v>0.84447190000000005</v>
      </c>
      <c r="AD56">
        <v>0.82390390000000002</v>
      </c>
      <c r="AE56">
        <v>0.56588229999999995</v>
      </c>
      <c r="AF56">
        <v>0.88985250000000005</v>
      </c>
      <c r="AG56">
        <v>0.72786740000000005</v>
      </c>
      <c r="AJ56" t="s">
        <v>61</v>
      </c>
    </row>
    <row r="57" spans="1:36" x14ac:dyDescent="0.2">
      <c r="A57">
        <v>55</v>
      </c>
      <c r="B57" t="s">
        <v>264</v>
      </c>
      <c r="C57" t="s">
        <v>269</v>
      </c>
      <c r="E57" t="s">
        <v>42</v>
      </c>
      <c r="F57" t="s">
        <v>266</v>
      </c>
      <c r="G57" t="s">
        <v>270</v>
      </c>
      <c r="I57" t="b">
        <f t="shared" si="0"/>
        <v>1</v>
      </c>
      <c r="J57">
        <v>0</v>
      </c>
      <c r="K57">
        <v>1.8559474498033499E-2</v>
      </c>
      <c r="L57">
        <v>4.7058824449777603E-2</v>
      </c>
      <c r="M57">
        <v>3.4276332706212997E-2</v>
      </c>
      <c r="N57">
        <v>3.5534434020519298E-2</v>
      </c>
      <c r="O57">
        <v>0</v>
      </c>
      <c r="P57">
        <v>1.5775552988052399</v>
      </c>
      <c r="Q57">
        <v>0.49936079978942899</v>
      </c>
      <c r="R57">
        <v>0.234289035201073</v>
      </c>
      <c r="S57">
        <v>0.39438882470130898</v>
      </c>
      <c r="T57">
        <v>1</v>
      </c>
      <c r="U57" t="s">
        <v>268</v>
      </c>
      <c r="V57" t="s">
        <v>39</v>
      </c>
      <c r="W57">
        <v>1.01383447626089</v>
      </c>
      <c r="X57">
        <v>6</v>
      </c>
      <c r="Y57">
        <v>6</v>
      </c>
      <c r="Z57" t="s">
        <v>266</v>
      </c>
      <c r="AA57" t="s">
        <v>270</v>
      </c>
      <c r="AB57">
        <v>0.80333600000000005</v>
      </c>
      <c r="AC57">
        <v>0.69399195999999996</v>
      </c>
      <c r="AD57">
        <v>0.748664</v>
      </c>
      <c r="AE57">
        <v>0.56588229999999995</v>
      </c>
      <c r="AF57">
        <v>8.3011450000000001E-2</v>
      </c>
      <c r="AG57">
        <v>0.32444689999999998</v>
      </c>
      <c r="AJ57" t="s">
        <v>40</v>
      </c>
    </row>
    <row r="58" spans="1:36" x14ac:dyDescent="0.2">
      <c r="A58">
        <v>56</v>
      </c>
      <c r="B58" t="s">
        <v>264</v>
      </c>
      <c r="C58" t="s">
        <v>271</v>
      </c>
      <c r="D58" t="s">
        <v>72</v>
      </c>
      <c r="E58" t="s">
        <v>46</v>
      </c>
      <c r="I58" t="b">
        <f t="shared" si="0"/>
        <v>1</v>
      </c>
      <c r="J58">
        <v>1.34529145434499E-2</v>
      </c>
      <c r="K58">
        <v>0</v>
      </c>
      <c r="M58">
        <v>0.107624627649784</v>
      </c>
      <c r="N58">
        <v>2.07448527216911E-2</v>
      </c>
      <c r="O58">
        <v>3</v>
      </c>
      <c r="P58">
        <v>0</v>
      </c>
      <c r="W58">
        <v>1.1529444802170901</v>
      </c>
      <c r="X58">
        <v>6</v>
      </c>
      <c r="Y58">
        <v>6</v>
      </c>
      <c r="Z58" t="s">
        <v>266</v>
      </c>
      <c r="AA58" t="s">
        <v>272</v>
      </c>
      <c r="AB58">
        <v>0.80333600000000005</v>
      </c>
      <c r="AC58">
        <v>0.73900880000000002</v>
      </c>
      <c r="AD58">
        <v>0.77117239999999998</v>
      </c>
      <c r="AE58">
        <v>0.56588229999999995</v>
      </c>
      <c r="AF58">
        <v>0.29183485999999997</v>
      </c>
      <c r="AG58">
        <v>0.42885857999999999</v>
      </c>
      <c r="AJ58" t="s">
        <v>44</v>
      </c>
    </row>
    <row r="59" spans="1:36" x14ac:dyDescent="0.2">
      <c r="A59">
        <v>57</v>
      </c>
      <c r="B59" t="s">
        <v>273</v>
      </c>
      <c r="C59" t="s">
        <v>274</v>
      </c>
      <c r="E59" t="s">
        <v>35</v>
      </c>
      <c r="F59" t="s">
        <v>275</v>
      </c>
      <c r="G59" t="s">
        <v>276</v>
      </c>
      <c r="I59" t="b">
        <f t="shared" si="0"/>
        <v>1</v>
      </c>
      <c r="J59">
        <v>0.15048544108867601</v>
      </c>
      <c r="K59">
        <v>1.1093296110630001E-2</v>
      </c>
      <c r="L59">
        <v>6.6666670143604306E-2</v>
      </c>
      <c r="M59">
        <v>0.375757455825806</v>
      </c>
      <c r="N59">
        <v>3.8671229034662302E-2</v>
      </c>
      <c r="O59">
        <v>31</v>
      </c>
      <c r="P59">
        <v>1.3311954736709599</v>
      </c>
      <c r="Q59">
        <v>0.203738108277321</v>
      </c>
      <c r="R59">
        <v>0.34589976072311401</v>
      </c>
      <c r="S59">
        <v>0.41103914380073597</v>
      </c>
      <c r="T59">
        <v>0.40482625365257302</v>
      </c>
      <c r="U59" t="s">
        <v>277</v>
      </c>
      <c r="V59" t="s">
        <v>278</v>
      </c>
      <c r="W59">
        <v>0.99218128912933201</v>
      </c>
      <c r="X59">
        <v>6</v>
      </c>
      <c r="Y59">
        <v>8</v>
      </c>
      <c r="Z59" t="s">
        <v>279</v>
      </c>
      <c r="AA59" t="s">
        <v>280</v>
      </c>
      <c r="AB59">
        <v>0.70937240000000001</v>
      </c>
      <c r="AC59">
        <v>0.62111985999999997</v>
      </c>
      <c r="AD59">
        <v>0.66524609999999995</v>
      </c>
      <c r="AE59">
        <v>0.14263940999999999</v>
      </c>
      <c r="AF59">
        <v>0.13152725000000001</v>
      </c>
      <c r="AG59">
        <v>0.13708332000000001</v>
      </c>
      <c r="AJ59" t="s">
        <v>61</v>
      </c>
    </row>
    <row r="60" spans="1:36" x14ac:dyDescent="0.2">
      <c r="A60">
        <v>58</v>
      </c>
      <c r="B60" t="s">
        <v>273</v>
      </c>
      <c r="C60" t="s">
        <v>281</v>
      </c>
      <c r="E60" t="s">
        <v>42</v>
      </c>
      <c r="F60" t="s">
        <v>279</v>
      </c>
      <c r="G60" t="s">
        <v>282</v>
      </c>
      <c r="H60" t="s">
        <v>72</v>
      </c>
      <c r="I60" t="b">
        <f t="shared" si="0"/>
        <v>1</v>
      </c>
      <c r="J60">
        <v>0</v>
      </c>
      <c r="K60">
        <v>5.7088773697614698E-2</v>
      </c>
      <c r="L60">
        <v>0.138888895511627</v>
      </c>
      <c r="M60">
        <v>3.7870090454816797E-2</v>
      </c>
      <c r="N60">
        <v>5.5202554911374997E-2</v>
      </c>
      <c r="O60">
        <v>0</v>
      </c>
      <c r="P60">
        <v>6.1655869483947798</v>
      </c>
      <c r="Q60">
        <v>0.25807538628578203</v>
      </c>
      <c r="R60">
        <v>0.40373095870018</v>
      </c>
      <c r="S60">
        <v>0.41103914380073597</v>
      </c>
      <c r="T60">
        <v>1</v>
      </c>
      <c r="U60" t="s">
        <v>283</v>
      </c>
      <c r="V60" t="s">
        <v>39</v>
      </c>
      <c r="W60">
        <v>1.3430066618385399</v>
      </c>
      <c r="X60">
        <v>6</v>
      </c>
      <c r="Y60">
        <v>5</v>
      </c>
      <c r="Z60" t="s">
        <v>279</v>
      </c>
      <c r="AA60" t="s">
        <v>282</v>
      </c>
      <c r="AB60">
        <v>0.70937240000000001</v>
      </c>
      <c r="AC60">
        <v>0.75840205000000005</v>
      </c>
      <c r="AD60">
        <v>0.73388719999999996</v>
      </c>
      <c r="AE60">
        <v>0.14263940999999999</v>
      </c>
      <c r="AF60">
        <v>0.69550690000000004</v>
      </c>
      <c r="AG60">
        <v>0.41907313000000002</v>
      </c>
      <c r="AJ60" t="s">
        <v>40</v>
      </c>
    </row>
    <row r="61" spans="1:36" x14ac:dyDescent="0.2">
      <c r="A61">
        <v>59</v>
      </c>
      <c r="B61" t="s">
        <v>273</v>
      </c>
      <c r="C61" t="s">
        <v>284</v>
      </c>
      <c r="D61" t="s">
        <v>72</v>
      </c>
      <c r="E61" t="s">
        <v>46</v>
      </c>
      <c r="I61" t="b">
        <f t="shared" si="0"/>
        <v>1</v>
      </c>
      <c r="J61">
        <v>2.42718439549208E-2</v>
      </c>
      <c r="K61">
        <v>0</v>
      </c>
      <c r="M61">
        <v>6.0788255184888798E-2</v>
      </c>
      <c r="N61">
        <v>1.0399831458926201E-2</v>
      </c>
      <c r="O61">
        <v>5</v>
      </c>
      <c r="P61">
        <v>0</v>
      </c>
      <c r="W61">
        <v>1.35825996641987</v>
      </c>
      <c r="X61">
        <v>6</v>
      </c>
      <c r="Y61">
        <v>7</v>
      </c>
      <c r="Z61" t="s">
        <v>279</v>
      </c>
      <c r="AA61" t="s">
        <v>285</v>
      </c>
      <c r="AB61">
        <v>0.70937240000000001</v>
      </c>
      <c r="AC61">
        <v>0.73091569999999995</v>
      </c>
      <c r="AD61">
        <v>0.72014403000000005</v>
      </c>
      <c r="AE61">
        <v>0.14263940999999999</v>
      </c>
      <c r="AF61">
        <v>0.38580989999999998</v>
      </c>
      <c r="AG61">
        <v>0.26422465000000001</v>
      </c>
      <c r="AH61" t="s">
        <v>72</v>
      </c>
      <c r="AI61" t="s">
        <v>76</v>
      </c>
      <c r="AJ61" t="s">
        <v>44</v>
      </c>
    </row>
    <row r="62" spans="1:36" x14ac:dyDescent="0.2">
      <c r="A62">
        <v>60</v>
      </c>
      <c r="B62" t="s">
        <v>286</v>
      </c>
      <c r="C62" t="s">
        <v>287</v>
      </c>
      <c r="E62" t="s">
        <v>35</v>
      </c>
      <c r="F62" t="s">
        <v>288</v>
      </c>
      <c r="G62" t="s">
        <v>289</v>
      </c>
      <c r="I62" t="b">
        <f t="shared" si="0"/>
        <v>1</v>
      </c>
      <c r="J62">
        <v>6.8702287971973405E-2</v>
      </c>
      <c r="K62">
        <v>1.4694567769765901E-2</v>
      </c>
      <c r="L62">
        <v>3.5714287310838699E-2</v>
      </c>
      <c r="M62">
        <v>0.16370761394500699</v>
      </c>
      <c r="N62">
        <v>9.0395100414753002E-2</v>
      </c>
      <c r="O62">
        <v>9</v>
      </c>
      <c r="P62">
        <v>1.2343436479568499</v>
      </c>
      <c r="Q62">
        <v>0.49423271417617798</v>
      </c>
      <c r="R62">
        <v>0.48805573582649198</v>
      </c>
      <c r="S62">
        <v>0.41144788265228299</v>
      </c>
      <c r="T62">
        <v>1</v>
      </c>
      <c r="U62" t="s">
        <v>290</v>
      </c>
      <c r="V62" t="s">
        <v>39</v>
      </c>
      <c r="W62">
        <v>0.48895424536193499</v>
      </c>
      <c r="X62">
        <v>4</v>
      </c>
      <c r="Y62">
        <v>5</v>
      </c>
      <c r="Z62" t="s">
        <v>288</v>
      </c>
      <c r="AA62" t="s">
        <v>289</v>
      </c>
      <c r="AB62">
        <v>0.76560589999999995</v>
      </c>
      <c r="AC62">
        <v>0.79557394999999997</v>
      </c>
      <c r="AD62">
        <v>0.78058994000000004</v>
      </c>
      <c r="AE62">
        <v>0.11914565000000001</v>
      </c>
      <c r="AF62">
        <v>0.69042592999999997</v>
      </c>
      <c r="AG62">
        <v>0.40478577999999998</v>
      </c>
      <c r="AJ62" t="s">
        <v>40</v>
      </c>
    </row>
    <row r="63" spans="1:36" x14ac:dyDescent="0.2">
      <c r="A63">
        <v>61</v>
      </c>
      <c r="B63" t="s">
        <v>286</v>
      </c>
      <c r="C63" t="s">
        <v>291</v>
      </c>
      <c r="E63" t="s">
        <v>42</v>
      </c>
      <c r="F63" t="s">
        <v>292</v>
      </c>
      <c r="G63" t="s">
        <v>293</v>
      </c>
      <c r="H63" t="s">
        <v>72</v>
      </c>
      <c r="I63" t="b">
        <f t="shared" si="0"/>
        <v>1</v>
      </c>
      <c r="J63">
        <v>0</v>
      </c>
      <c r="K63">
        <v>3.4749269485473598E-2</v>
      </c>
      <c r="L63">
        <v>0.104477614164352</v>
      </c>
      <c r="M63">
        <v>2.15703062713146E-2</v>
      </c>
      <c r="N63">
        <v>7.4103310704231304E-2</v>
      </c>
      <c r="O63">
        <v>0</v>
      </c>
      <c r="P63">
        <v>2.3282008171081499</v>
      </c>
      <c r="Q63">
        <v>0.480553418397903</v>
      </c>
      <c r="R63">
        <v>0.43689063191413902</v>
      </c>
      <c r="S63">
        <v>0.41144788265228299</v>
      </c>
      <c r="T63">
        <v>0.80836516618728604</v>
      </c>
      <c r="U63" t="s">
        <v>294</v>
      </c>
      <c r="V63" t="s">
        <v>295</v>
      </c>
      <c r="W63">
        <v>0.64622896738404501</v>
      </c>
      <c r="X63">
        <v>4</v>
      </c>
      <c r="Y63">
        <v>3</v>
      </c>
      <c r="Z63" t="s">
        <v>288</v>
      </c>
      <c r="AA63" t="s">
        <v>293</v>
      </c>
      <c r="AB63">
        <v>0.76560589999999995</v>
      </c>
      <c r="AC63">
        <v>0.73983412999999998</v>
      </c>
      <c r="AD63">
        <v>0.75271999999999994</v>
      </c>
      <c r="AE63">
        <v>0.11914565000000001</v>
      </c>
      <c r="AF63">
        <v>0.23999403</v>
      </c>
      <c r="AG63">
        <v>0.17956984000000001</v>
      </c>
      <c r="AJ63" t="s">
        <v>44</v>
      </c>
    </row>
    <row r="64" spans="1:36" x14ac:dyDescent="0.2">
      <c r="A64">
        <v>62</v>
      </c>
      <c r="B64" t="s">
        <v>286</v>
      </c>
      <c r="C64" t="s">
        <v>296</v>
      </c>
      <c r="D64" t="s">
        <v>72</v>
      </c>
      <c r="E64" t="s">
        <v>46</v>
      </c>
      <c r="I64" t="b">
        <f t="shared" si="0"/>
        <v>1</v>
      </c>
      <c r="J64">
        <v>3.05343512445688E-2</v>
      </c>
      <c r="K64">
        <v>0</v>
      </c>
      <c r="M64">
        <v>4.0400125086307498E-2</v>
      </c>
      <c r="N64">
        <v>1.2775456532836E-2</v>
      </c>
      <c r="O64">
        <v>4</v>
      </c>
      <c r="P64">
        <v>0</v>
      </c>
      <c r="W64">
        <v>1.33942855441997</v>
      </c>
      <c r="X64">
        <v>4</v>
      </c>
      <c r="Y64">
        <v>3</v>
      </c>
      <c r="Z64" t="s">
        <v>288</v>
      </c>
      <c r="AA64" t="s">
        <v>297</v>
      </c>
      <c r="AB64">
        <v>0.76560589999999995</v>
      </c>
      <c r="AC64">
        <v>0.74668020000000002</v>
      </c>
      <c r="AD64">
        <v>0.75614309999999996</v>
      </c>
      <c r="AE64">
        <v>0.11914565000000001</v>
      </c>
      <c r="AF64">
        <v>0.49461981999999999</v>
      </c>
      <c r="AG64">
        <v>0.30688273999999999</v>
      </c>
      <c r="AJ64" t="s">
        <v>48</v>
      </c>
    </row>
    <row r="65" spans="1:36" x14ac:dyDescent="0.2">
      <c r="A65">
        <v>63</v>
      </c>
      <c r="B65" t="s">
        <v>298</v>
      </c>
      <c r="C65" t="s">
        <v>299</v>
      </c>
      <c r="D65" t="s">
        <v>72</v>
      </c>
      <c r="E65" t="s">
        <v>35</v>
      </c>
      <c r="F65" t="s">
        <v>300</v>
      </c>
      <c r="G65" t="s">
        <v>301</v>
      </c>
      <c r="I65" t="b">
        <f t="shared" si="0"/>
        <v>1</v>
      </c>
      <c r="J65">
        <v>0.19918699562549599</v>
      </c>
      <c r="K65">
        <v>2.3364486172795299E-2</v>
      </c>
      <c r="L65">
        <v>4.6728972345590598E-2</v>
      </c>
      <c r="M65">
        <v>0.188165739178658</v>
      </c>
      <c r="N65">
        <v>0.110500000417233</v>
      </c>
      <c r="O65">
        <v>49</v>
      </c>
      <c r="P65">
        <v>2.5</v>
      </c>
      <c r="Q65">
        <v>0.57215112447738703</v>
      </c>
      <c r="R65">
        <v>0.38017326593399098</v>
      </c>
      <c r="S65">
        <v>1</v>
      </c>
      <c r="T65">
        <v>0.5</v>
      </c>
      <c r="U65" t="s">
        <v>39</v>
      </c>
      <c r="V65" t="s">
        <v>302</v>
      </c>
      <c r="W65">
        <v>0.76437218147235697</v>
      </c>
      <c r="X65">
        <v>4</v>
      </c>
      <c r="Y65">
        <v>4</v>
      </c>
      <c r="Z65" t="s">
        <v>300</v>
      </c>
      <c r="AA65" t="s">
        <v>301</v>
      </c>
      <c r="AB65">
        <v>0.82606906000000002</v>
      </c>
      <c r="AC65">
        <v>0.81527954000000002</v>
      </c>
      <c r="AD65">
        <v>0.82067429999999997</v>
      </c>
      <c r="AE65">
        <v>0.42394557999999999</v>
      </c>
      <c r="AF65">
        <v>0.55630504999999997</v>
      </c>
      <c r="AG65">
        <v>0.49012529999999999</v>
      </c>
      <c r="AJ65" t="s">
        <v>44</v>
      </c>
    </row>
    <row r="66" spans="1:36" x14ac:dyDescent="0.2">
      <c r="A66">
        <v>64</v>
      </c>
      <c r="B66" t="s">
        <v>298</v>
      </c>
      <c r="C66" t="s">
        <v>303</v>
      </c>
      <c r="E66" t="s">
        <v>42</v>
      </c>
      <c r="F66" t="s">
        <v>300</v>
      </c>
      <c r="G66" t="s">
        <v>304</v>
      </c>
      <c r="I66" t="b">
        <f t="shared" ref="I66:I129" si="1">COUNTIFS($B$2:$B$257,$B66,$D$2:$D$257,"&lt;&gt;")+COUNTIFS($B$2:$B$257,$B66,$H$2:$H$257,"&lt;&gt;")&gt;0</f>
        <v>1</v>
      </c>
      <c r="J66">
        <v>0</v>
      </c>
      <c r="K66">
        <v>1.1682243086397599E-2</v>
      </c>
      <c r="L66">
        <v>4.6728972345590598E-2</v>
      </c>
      <c r="M66">
        <v>3.2801996916532503E-2</v>
      </c>
      <c r="N66">
        <v>1.90750006586313E-2</v>
      </c>
      <c r="O66">
        <v>0</v>
      </c>
      <c r="P66">
        <v>1.25</v>
      </c>
      <c r="Q66">
        <v>0.57215112447738703</v>
      </c>
      <c r="R66">
        <v>0.45151537656784102</v>
      </c>
      <c r="S66">
        <v>1</v>
      </c>
      <c r="T66">
        <v>0.25</v>
      </c>
      <c r="U66" t="s">
        <v>39</v>
      </c>
      <c r="V66" t="s">
        <v>305</v>
      </c>
      <c r="W66">
        <v>1.1359064998530399</v>
      </c>
      <c r="X66">
        <v>4</v>
      </c>
      <c r="Y66">
        <v>5</v>
      </c>
      <c r="Z66" t="s">
        <v>300</v>
      </c>
      <c r="AA66" t="s">
        <v>306</v>
      </c>
      <c r="AB66">
        <v>0.82606906000000002</v>
      </c>
      <c r="AC66">
        <v>0.79878709999999997</v>
      </c>
      <c r="AD66">
        <v>0.81242809999999999</v>
      </c>
      <c r="AE66">
        <v>0.42394557999999999</v>
      </c>
      <c r="AF66">
        <v>0.65296500000000002</v>
      </c>
      <c r="AG66">
        <v>0.53845529999999997</v>
      </c>
      <c r="AJ66" t="s">
        <v>48</v>
      </c>
    </row>
    <row r="67" spans="1:36" x14ac:dyDescent="0.2">
      <c r="A67">
        <v>65</v>
      </c>
      <c r="B67" t="s">
        <v>298</v>
      </c>
      <c r="C67" t="s">
        <v>307</v>
      </c>
      <c r="E67" t="s">
        <v>46</v>
      </c>
      <c r="I67" t="b">
        <f t="shared" si="1"/>
        <v>1</v>
      </c>
      <c r="J67">
        <v>2.0325202494859699E-2</v>
      </c>
      <c r="K67">
        <v>0</v>
      </c>
      <c r="M67">
        <v>8.2429111003875705E-2</v>
      </c>
      <c r="N67">
        <v>5.3666671738027997E-3</v>
      </c>
      <c r="O67">
        <v>5</v>
      </c>
      <c r="P67">
        <v>0</v>
      </c>
      <c r="W67">
        <v>1.23016622208895</v>
      </c>
      <c r="X67">
        <v>4</v>
      </c>
      <c r="Y67">
        <v>4</v>
      </c>
      <c r="Z67" t="s">
        <v>300</v>
      </c>
      <c r="AA67" t="s">
        <v>308</v>
      </c>
      <c r="AB67">
        <v>0.82606906000000002</v>
      </c>
      <c r="AC67">
        <v>0.8341423</v>
      </c>
      <c r="AD67">
        <v>0.83010565999999997</v>
      </c>
      <c r="AE67">
        <v>0.42394557999999999</v>
      </c>
      <c r="AF67">
        <v>0.22804466000000001</v>
      </c>
      <c r="AG67">
        <v>0.32599512000000003</v>
      </c>
      <c r="AJ67" t="s">
        <v>61</v>
      </c>
    </row>
    <row r="68" spans="1:36" x14ac:dyDescent="0.2">
      <c r="A68">
        <v>66</v>
      </c>
      <c r="B68" t="s">
        <v>309</v>
      </c>
      <c r="C68" t="s">
        <v>310</v>
      </c>
      <c r="E68" t="s">
        <v>35</v>
      </c>
      <c r="F68" t="s">
        <v>311</v>
      </c>
      <c r="G68" t="s">
        <v>312</v>
      </c>
      <c r="I68" t="b">
        <f t="shared" si="1"/>
        <v>1</v>
      </c>
      <c r="J68">
        <v>0.12138728052377699</v>
      </c>
      <c r="K68">
        <v>3.15205901861191E-2</v>
      </c>
      <c r="L68">
        <v>8.0645158886909499E-2</v>
      </c>
      <c r="M68">
        <v>0.24862721562385601</v>
      </c>
      <c r="N68">
        <v>0.16289006173610701</v>
      </c>
      <c r="O68">
        <v>21</v>
      </c>
      <c r="P68">
        <v>3.9085531234741202</v>
      </c>
      <c r="Q68">
        <v>0.576898813247681</v>
      </c>
      <c r="R68">
        <v>0.55171495676040705</v>
      </c>
      <c r="S68">
        <v>1</v>
      </c>
      <c r="T68">
        <v>0.390855312347412</v>
      </c>
      <c r="U68" t="s">
        <v>39</v>
      </c>
      <c r="V68" t="s">
        <v>313</v>
      </c>
      <c r="W68">
        <v>0.99439163252170604</v>
      </c>
      <c r="X68">
        <v>5</v>
      </c>
      <c r="Y68">
        <v>5</v>
      </c>
      <c r="Z68" t="s">
        <v>311</v>
      </c>
      <c r="AA68" t="s">
        <v>314</v>
      </c>
      <c r="AB68">
        <v>0.65544170000000002</v>
      </c>
      <c r="AC68">
        <v>0.72370429999999997</v>
      </c>
      <c r="AD68">
        <v>0.68957299999999999</v>
      </c>
      <c r="AE68">
        <v>0.31645395999999998</v>
      </c>
      <c r="AF68">
        <v>0.16811857999999999</v>
      </c>
      <c r="AG68">
        <v>0.24228626</v>
      </c>
      <c r="AJ68" t="s">
        <v>40</v>
      </c>
    </row>
    <row r="69" spans="1:36" x14ac:dyDescent="0.2">
      <c r="A69">
        <v>67</v>
      </c>
      <c r="B69" t="s">
        <v>309</v>
      </c>
      <c r="C69" t="s">
        <v>315</v>
      </c>
      <c r="E69" t="s">
        <v>42</v>
      </c>
      <c r="F69" t="s">
        <v>311</v>
      </c>
      <c r="G69" t="s">
        <v>316</v>
      </c>
      <c r="H69" t="s">
        <v>72</v>
      </c>
      <c r="I69" t="b">
        <f t="shared" si="1"/>
        <v>1</v>
      </c>
      <c r="J69">
        <v>0</v>
      </c>
      <c r="K69">
        <v>2.41935476660728E-2</v>
      </c>
      <c r="L69">
        <v>2.41935476660728E-2</v>
      </c>
      <c r="M69">
        <v>6.5059028565883595E-2</v>
      </c>
      <c r="N69">
        <v>6.2199998646974598E-2</v>
      </c>
      <c r="O69">
        <v>0</v>
      </c>
      <c r="P69">
        <v>3</v>
      </c>
      <c r="Q69">
        <v>0.576898813247681</v>
      </c>
      <c r="R69">
        <v>0.32231751084327698</v>
      </c>
      <c r="S69">
        <v>1</v>
      </c>
      <c r="T69">
        <v>1</v>
      </c>
      <c r="U69" t="s">
        <v>39</v>
      </c>
      <c r="V69" t="s">
        <v>39</v>
      </c>
      <c r="W69">
        <v>1.1791031828279199</v>
      </c>
      <c r="X69">
        <v>5</v>
      </c>
      <c r="Y69">
        <v>7</v>
      </c>
      <c r="Z69" t="s">
        <v>311</v>
      </c>
      <c r="AA69" t="s">
        <v>316</v>
      </c>
      <c r="AB69">
        <v>0.65544170000000002</v>
      </c>
      <c r="AC69">
        <v>0.73535530000000005</v>
      </c>
      <c r="AD69">
        <v>0.69539850000000003</v>
      </c>
      <c r="AE69">
        <v>0.31645395999999998</v>
      </c>
      <c r="AF69">
        <v>0.56864309999999996</v>
      </c>
      <c r="AG69">
        <v>0.44254850000000001</v>
      </c>
      <c r="AI69" t="s">
        <v>317</v>
      </c>
      <c r="AJ69" t="s">
        <v>44</v>
      </c>
    </row>
    <row r="70" spans="1:36" x14ac:dyDescent="0.2">
      <c r="A70">
        <v>68</v>
      </c>
      <c r="B70" t="s">
        <v>309</v>
      </c>
      <c r="C70" t="s">
        <v>318</v>
      </c>
      <c r="E70" t="s">
        <v>46</v>
      </c>
      <c r="I70" t="b">
        <f t="shared" si="1"/>
        <v>1</v>
      </c>
      <c r="J70">
        <v>2.89017334580421E-2</v>
      </c>
      <c r="K70">
        <v>0</v>
      </c>
      <c r="M70">
        <v>4.0620882064104101E-2</v>
      </c>
      <c r="N70">
        <v>1.6692385077476501E-2</v>
      </c>
      <c r="O70">
        <v>5</v>
      </c>
      <c r="P70">
        <v>0</v>
      </c>
      <c r="W70">
        <v>0.92489703322064898</v>
      </c>
      <c r="X70">
        <v>5</v>
      </c>
      <c r="Y70">
        <v>5</v>
      </c>
      <c r="Z70" t="s">
        <v>311</v>
      </c>
      <c r="AA70" t="s">
        <v>319</v>
      </c>
      <c r="AB70">
        <v>0.65544170000000002</v>
      </c>
      <c r="AC70">
        <v>0.78724939999999999</v>
      </c>
      <c r="AD70">
        <v>0.72134553999999995</v>
      </c>
      <c r="AE70">
        <v>0.31645395999999998</v>
      </c>
      <c r="AF70">
        <v>0.57065469999999996</v>
      </c>
      <c r="AG70">
        <v>0.44355433999999999</v>
      </c>
      <c r="AJ70" t="s">
        <v>48</v>
      </c>
    </row>
    <row r="71" spans="1:36" x14ac:dyDescent="0.2">
      <c r="A71">
        <v>69</v>
      </c>
      <c r="B71" t="s">
        <v>320</v>
      </c>
      <c r="C71" t="s">
        <v>321</v>
      </c>
      <c r="E71" t="s">
        <v>35</v>
      </c>
      <c r="F71" t="s">
        <v>322</v>
      </c>
      <c r="G71" t="s">
        <v>323</v>
      </c>
      <c r="I71" t="b">
        <f t="shared" si="1"/>
        <v>0</v>
      </c>
      <c r="J71">
        <v>0.125683054327965</v>
      </c>
      <c r="K71">
        <v>7.23898410797119E-2</v>
      </c>
      <c r="L71">
        <v>0.215909093618393</v>
      </c>
      <c r="M71">
        <v>0.47723987698554998</v>
      </c>
      <c r="N71">
        <v>0.31886652112007102</v>
      </c>
      <c r="O71">
        <v>23</v>
      </c>
      <c r="P71">
        <v>6.3703060150146502</v>
      </c>
      <c r="Q71">
        <v>0.58378058671951305</v>
      </c>
      <c r="R71">
        <v>0.56224656105041504</v>
      </c>
      <c r="S71">
        <v>1</v>
      </c>
      <c r="T71">
        <v>0.33527925610542297</v>
      </c>
      <c r="U71" t="s">
        <v>39</v>
      </c>
      <c r="V71" t="s">
        <v>324</v>
      </c>
      <c r="W71">
        <v>1.4782714711335201</v>
      </c>
      <c r="X71">
        <v>4</v>
      </c>
      <c r="Y71">
        <v>4</v>
      </c>
      <c r="Z71" t="s">
        <v>322</v>
      </c>
      <c r="AA71" t="s">
        <v>325</v>
      </c>
      <c r="AB71">
        <v>0.79896330000000004</v>
      </c>
      <c r="AC71">
        <v>0.82973105000000003</v>
      </c>
      <c r="AD71">
        <v>0.81434715000000002</v>
      </c>
      <c r="AE71">
        <v>0.23891924</v>
      </c>
      <c r="AF71">
        <v>0.23177429999999999</v>
      </c>
      <c r="AG71">
        <v>0.23534675999999999</v>
      </c>
      <c r="AJ71" t="s">
        <v>44</v>
      </c>
    </row>
    <row r="72" spans="1:36" x14ac:dyDescent="0.2">
      <c r="A72">
        <v>70</v>
      </c>
      <c r="B72" t="s">
        <v>320</v>
      </c>
      <c r="C72" t="s">
        <v>326</v>
      </c>
      <c r="E72" t="s">
        <v>42</v>
      </c>
      <c r="F72" t="s">
        <v>322</v>
      </c>
      <c r="G72" t="s">
        <v>327</v>
      </c>
      <c r="I72" t="b">
        <f t="shared" si="1"/>
        <v>0</v>
      </c>
      <c r="J72">
        <v>0</v>
      </c>
      <c r="K72">
        <v>1.46735077723861E-2</v>
      </c>
      <c r="L72">
        <v>3.4090910106897403E-2</v>
      </c>
      <c r="M72">
        <v>2.8162173926830299E-2</v>
      </c>
      <c r="N72">
        <v>4.37309630215168E-2</v>
      </c>
      <c r="O72">
        <v>0</v>
      </c>
      <c r="P72">
        <v>1.2912685871124301</v>
      </c>
      <c r="Q72">
        <v>0.58378058671951305</v>
      </c>
      <c r="R72">
        <v>0.45226556062698398</v>
      </c>
      <c r="S72">
        <v>1</v>
      </c>
      <c r="T72">
        <v>0.43042287230491599</v>
      </c>
      <c r="U72" t="s">
        <v>39</v>
      </c>
      <c r="V72" t="s">
        <v>328</v>
      </c>
      <c r="W72">
        <v>1.00949875400977</v>
      </c>
      <c r="X72">
        <v>4</v>
      </c>
      <c r="Y72">
        <v>6</v>
      </c>
      <c r="Z72" t="s">
        <v>322</v>
      </c>
      <c r="AA72" t="s">
        <v>327</v>
      </c>
      <c r="AB72">
        <v>0.79896330000000004</v>
      </c>
      <c r="AC72">
        <v>0.72683734</v>
      </c>
      <c r="AD72">
        <v>0.76290035</v>
      </c>
      <c r="AE72">
        <v>0.23891924</v>
      </c>
      <c r="AF72">
        <v>0.21142601999999999</v>
      </c>
      <c r="AG72">
        <v>0.22517264000000001</v>
      </c>
      <c r="AJ72" t="s">
        <v>48</v>
      </c>
    </row>
    <row r="73" spans="1:36" x14ac:dyDescent="0.2">
      <c r="A73">
        <v>71</v>
      </c>
      <c r="B73" t="s">
        <v>320</v>
      </c>
      <c r="C73" t="s">
        <v>63</v>
      </c>
      <c r="E73" t="s">
        <v>46</v>
      </c>
      <c r="I73" t="b">
        <f t="shared" si="1"/>
        <v>0</v>
      </c>
      <c r="J73">
        <v>2.18579228967428E-2</v>
      </c>
      <c r="K73">
        <v>0</v>
      </c>
      <c r="M73">
        <v>0.109379626810551</v>
      </c>
      <c r="N73">
        <v>1.7930250614881502E-2</v>
      </c>
      <c r="O73">
        <v>4</v>
      </c>
      <c r="P73">
        <v>0</v>
      </c>
      <c r="W73">
        <v>0.79463952218701694</v>
      </c>
      <c r="X73">
        <v>4</v>
      </c>
      <c r="Y73">
        <v>4</v>
      </c>
      <c r="Z73" t="s">
        <v>322</v>
      </c>
      <c r="AA73" t="s">
        <v>67</v>
      </c>
      <c r="AB73">
        <v>0.79896330000000004</v>
      </c>
      <c r="AC73">
        <v>0.72057724000000001</v>
      </c>
      <c r="AD73">
        <v>0.75977030000000001</v>
      </c>
      <c r="AE73">
        <v>0.23891924</v>
      </c>
      <c r="AF73">
        <v>0.37188696999999998</v>
      </c>
      <c r="AG73">
        <v>0.30540309999999998</v>
      </c>
      <c r="AJ73" t="s">
        <v>61</v>
      </c>
    </row>
    <row r="74" spans="1:36" x14ac:dyDescent="0.2">
      <c r="A74">
        <v>72</v>
      </c>
      <c r="B74" t="s">
        <v>329</v>
      </c>
      <c r="C74" t="s">
        <v>330</v>
      </c>
      <c r="E74" t="s">
        <v>35</v>
      </c>
      <c r="F74" t="s">
        <v>331</v>
      </c>
      <c r="G74" t="s">
        <v>332</v>
      </c>
      <c r="I74" t="b">
        <f t="shared" si="1"/>
        <v>1</v>
      </c>
      <c r="J74">
        <v>3.5211268812417998E-2</v>
      </c>
      <c r="K74">
        <v>9.4669386744498998E-3</v>
      </c>
      <c r="L74">
        <v>0.10833333432674409</v>
      </c>
      <c r="M74">
        <v>0.40203133225441001</v>
      </c>
      <c r="N74">
        <v>5.6565690785646397E-2</v>
      </c>
      <c r="O74">
        <v>5</v>
      </c>
      <c r="P74">
        <v>1.1360327005386399</v>
      </c>
      <c r="Q74">
        <v>0.33426991105079701</v>
      </c>
      <c r="R74">
        <v>0.43284502625465399</v>
      </c>
      <c r="S74">
        <v>0.200926378369331</v>
      </c>
      <c r="T74">
        <v>0.434921145439148</v>
      </c>
      <c r="U74" t="s">
        <v>333</v>
      </c>
      <c r="V74" t="s">
        <v>334</v>
      </c>
      <c r="W74">
        <v>0.85209533192407405</v>
      </c>
      <c r="X74">
        <v>5</v>
      </c>
      <c r="Y74">
        <v>4</v>
      </c>
      <c r="Z74" t="s">
        <v>335</v>
      </c>
      <c r="AA74" t="s">
        <v>336</v>
      </c>
      <c r="AB74">
        <v>0.57454590000000005</v>
      </c>
      <c r="AC74">
        <v>0.81559324</v>
      </c>
      <c r="AD74">
        <v>0.69506955000000004</v>
      </c>
      <c r="AE74">
        <v>9.7756410000000002E-2</v>
      </c>
      <c r="AF74">
        <v>0.15176313999999999</v>
      </c>
      <c r="AG74">
        <v>0.12475978</v>
      </c>
      <c r="AH74" t="s">
        <v>72</v>
      </c>
      <c r="AI74" t="s">
        <v>76</v>
      </c>
      <c r="AJ74" t="s">
        <v>61</v>
      </c>
    </row>
    <row r="75" spans="1:36" x14ac:dyDescent="0.2">
      <c r="A75">
        <v>73</v>
      </c>
      <c r="B75" t="s">
        <v>329</v>
      </c>
      <c r="C75" t="s">
        <v>326</v>
      </c>
      <c r="E75" t="s">
        <v>42</v>
      </c>
      <c r="F75" t="s">
        <v>337</v>
      </c>
      <c r="G75" t="s">
        <v>327</v>
      </c>
      <c r="I75" t="b">
        <f t="shared" si="1"/>
        <v>1</v>
      </c>
      <c r="J75">
        <v>0</v>
      </c>
      <c r="K75">
        <v>7.7378391288219998E-3</v>
      </c>
      <c r="L75">
        <v>0.2080000042915344</v>
      </c>
      <c r="M75">
        <v>3.7998650223016697E-2</v>
      </c>
      <c r="N75">
        <v>2.4309882894158402E-2</v>
      </c>
      <c r="O75">
        <v>0</v>
      </c>
      <c r="P75">
        <v>0.96722984313964799</v>
      </c>
      <c r="Q75">
        <v>0.279056787490845</v>
      </c>
      <c r="R75">
        <v>0.45226556062698398</v>
      </c>
      <c r="S75">
        <v>8.6429305374622303E-2</v>
      </c>
      <c r="T75">
        <v>0.43042287230491599</v>
      </c>
      <c r="U75" t="s">
        <v>338</v>
      </c>
      <c r="V75" t="s">
        <v>328</v>
      </c>
      <c r="W75">
        <v>0.714663327063217</v>
      </c>
      <c r="X75">
        <v>5</v>
      </c>
      <c r="Y75">
        <v>6</v>
      </c>
      <c r="Z75" t="s">
        <v>335</v>
      </c>
      <c r="AA75" t="s">
        <v>327</v>
      </c>
      <c r="AB75">
        <v>0.57454590000000005</v>
      </c>
      <c r="AC75">
        <v>0.72683734</v>
      </c>
      <c r="AD75">
        <v>0.65069160000000004</v>
      </c>
      <c r="AE75">
        <v>9.7756410000000002E-2</v>
      </c>
      <c r="AF75">
        <v>0.21142601999999999</v>
      </c>
      <c r="AG75">
        <v>0.15459122</v>
      </c>
      <c r="AH75" t="s">
        <v>72</v>
      </c>
      <c r="AI75" t="s">
        <v>76</v>
      </c>
      <c r="AJ75" t="s">
        <v>40</v>
      </c>
    </row>
    <row r="76" spans="1:36" x14ac:dyDescent="0.2">
      <c r="A76">
        <v>74</v>
      </c>
      <c r="B76" t="s">
        <v>329</v>
      </c>
      <c r="C76" t="s">
        <v>339</v>
      </c>
      <c r="D76" t="s">
        <v>72</v>
      </c>
      <c r="E76" t="s">
        <v>46</v>
      </c>
      <c r="I76" t="b">
        <f t="shared" si="1"/>
        <v>1</v>
      </c>
      <c r="J76">
        <v>7.0422537624835996E-2</v>
      </c>
      <c r="K76">
        <v>0</v>
      </c>
      <c r="M76">
        <v>0.25811558961868297</v>
      </c>
      <c r="N76">
        <v>5.7286778464913004E-3</v>
      </c>
      <c r="O76">
        <v>10</v>
      </c>
      <c r="P76">
        <v>0</v>
      </c>
      <c r="W76">
        <v>0.97768462076473295</v>
      </c>
      <c r="X76">
        <v>5</v>
      </c>
      <c r="Y76">
        <v>3</v>
      </c>
      <c r="Z76" t="s">
        <v>335</v>
      </c>
      <c r="AA76" t="s">
        <v>340</v>
      </c>
      <c r="AB76">
        <v>0.57454590000000005</v>
      </c>
      <c r="AC76">
        <v>0.76774070000000005</v>
      </c>
      <c r="AD76">
        <v>0.6711433</v>
      </c>
      <c r="AE76">
        <v>9.7756410000000002E-2</v>
      </c>
      <c r="AF76">
        <v>0.27692820000000001</v>
      </c>
      <c r="AG76">
        <v>0.18734229999999999</v>
      </c>
      <c r="AJ76" t="s">
        <v>44</v>
      </c>
    </row>
    <row r="77" spans="1:36" x14ac:dyDescent="0.2">
      <c r="A77">
        <v>75</v>
      </c>
      <c r="B77" t="s">
        <v>341</v>
      </c>
      <c r="C77" t="s">
        <v>342</v>
      </c>
      <c r="D77" t="s">
        <v>72</v>
      </c>
      <c r="E77" t="s">
        <v>35</v>
      </c>
      <c r="F77" t="s">
        <v>343</v>
      </c>
      <c r="G77" t="s">
        <v>344</v>
      </c>
      <c r="I77" t="b">
        <f t="shared" si="1"/>
        <v>1</v>
      </c>
      <c r="J77">
        <v>1.80180203169584E-2</v>
      </c>
      <c r="K77">
        <v>2.87666097283363E-2</v>
      </c>
      <c r="L77">
        <v>6.3157893717288971E-2</v>
      </c>
      <c r="M77">
        <v>0.29956698417663602</v>
      </c>
      <c r="N77">
        <v>0.30489251017570501</v>
      </c>
      <c r="O77">
        <v>4</v>
      </c>
      <c r="P77">
        <v>2.73282814025879</v>
      </c>
      <c r="Q77">
        <v>0.20574228465557101</v>
      </c>
      <c r="R77">
        <v>0.51640307903289795</v>
      </c>
      <c r="S77">
        <v>1</v>
      </c>
      <c r="T77">
        <v>0.45547133684158297</v>
      </c>
      <c r="U77" t="s">
        <v>39</v>
      </c>
      <c r="V77" t="s">
        <v>345</v>
      </c>
      <c r="W77">
        <v>1.1040135345858</v>
      </c>
      <c r="X77">
        <v>4</v>
      </c>
      <c r="Y77">
        <v>5</v>
      </c>
      <c r="Z77" t="s">
        <v>343</v>
      </c>
      <c r="AA77" t="s">
        <v>346</v>
      </c>
      <c r="AB77">
        <v>0.66934320000000003</v>
      </c>
      <c r="AC77">
        <v>0.70939300000000005</v>
      </c>
      <c r="AD77">
        <v>0.68936810000000004</v>
      </c>
      <c r="AE77">
        <v>5.5568571999999997E-2</v>
      </c>
      <c r="AF77">
        <v>0.18696252999999999</v>
      </c>
      <c r="AG77">
        <v>0.12126555</v>
      </c>
      <c r="AH77" t="s">
        <v>72</v>
      </c>
      <c r="AI77" t="s">
        <v>76</v>
      </c>
      <c r="AJ77" t="s">
        <v>48</v>
      </c>
    </row>
    <row r="78" spans="1:36" x14ac:dyDescent="0.2">
      <c r="A78">
        <v>76</v>
      </c>
      <c r="B78" t="s">
        <v>341</v>
      </c>
      <c r="C78" t="s">
        <v>347</v>
      </c>
      <c r="E78" t="s">
        <v>42</v>
      </c>
      <c r="F78" t="s">
        <v>343</v>
      </c>
      <c r="G78" t="s">
        <v>348</v>
      </c>
      <c r="I78" t="b">
        <f t="shared" si="1"/>
        <v>1</v>
      </c>
      <c r="J78">
        <v>0</v>
      </c>
      <c r="K78">
        <v>0.126315787434578</v>
      </c>
      <c r="L78">
        <v>0.126315787434578</v>
      </c>
      <c r="M78">
        <v>4.1015267372131403E-2</v>
      </c>
      <c r="N78">
        <v>0.15099999308586101</v>
      </c>
      <c r="O78">
        <v>0</v>
      </c>
      <c r="P78">
        <v>12</v>
      </c>
      <c r="Q78">
        <v>0.20574228465557101</v>
      </c>
      <c r="R78">
        <v>0.352245062589645</v>
      </c>
      <c r="S78">
        <v>1</v>
      </c>
      <c r="T78">
        <v>1</v>
      </c>
      <c r="U78" t="s">
        <v>39</v>
      </c>
      <c r="V78" t="s">
        <v>39</v>
      </c>
      <c r="W78">
        <v>1.06003665729132</v>
      </c>
      <c r="X78">
        <v>4</v>
      </c>
      <c r="Y78">
        <v>4</v>
      </c>
      <c r="Z78" t="s">
        <v>343</v>
      </c>
      <c r="AA78" t="s">
        <v>348</v>
      </c>
      <c r="AB78">
        <v>0.66934320000000003</v>
      </c>
      <c r="AC78">
        <v>0.76293929999999999</v>
      </c>
      <c r="AD78">
        <v>0.71614120000000003</v>
      </c>
      <c r="AE78">
        <v>5.5568571999999997E-2</v>
      </c>
      <c r="AF78">
        <v>0.34552815999999997</v>
      </c>
      <c r="AG78">
        <v>0.20054837</v>
      </c>
      <c r="AJ78" t="s">
        <v>61</v>
      </c>
    </row>
    <row r="79" spans="1:36" x14ac:dyDescent="0.2">
      <c r="A79">
        <v>77</v>
      </c>
      <c r="B79" t="s">
        <v>341</v>
      </c>
      <c r="C79" t="s">
        <v>349</v>
      </c>
      <c r="E79" t="s">
        <v>46</v>
      </c>
      <c r="I79" t="b">
        <f t="shared" si="1"/>
        <v>1</v>
      </c>
      <c r="J79">
        <v>4.0540542453527499E-2</v>
      </c>
      <c r="K79">
        <v>0</v>
      </c>
      <c r="M79">
        <v>0.105507336556911</v>
      </c>
      <c r="N79">
        <v>1.1400000192225E-2</v>
      </c>
      <c r="O79">
        <v>9</v>
      </c>
      <c r="P79">
        <v>0</v>
      </c>
      <c r="W79">
        <v>0.61238746621463402</v>
      </c>
      <c r="X79">
        <v>4</v>
      </c>
      <c r="Y79">
        <v>4</v>
      </c>
      <c r="Z79" t="s">
        <v>343</v>
      </c>
      <c r="AA79" t="s">
        <v>350</v>
      </c>
      <c r="AB79">
        <v>0.66934320000000003</v>
      </c>
      <c r="AC79">
        <v>0.71208090000000002</v>
      </c>
      <c r="AD79">
        <v>0.69071203000000003</v>
      </c>
      <c r="AE79">
        <v>5.5568571999999997E-2</v>
      </c>
      <c r="AF79">
        <v>5.5285897000000002E-3</v>
      </c>
      <c r="AG79">
        <v>3.0548579999999999E-2</v>
      </c>
      <c r="AJ79" t="s">
        <v>40</v>
      </c>
    </row>
    <row r="80" spans="1:36" x14ac:dyDescent="0.2">
      <c r="A80">
        <v>78</v>
      </c>
      <c r="B80" t="s">
        <v>351</v>
      </c>
      <c r="C80" t="s">
        <v>352</v>
      </c>
      <c r="E80" t="s">
        <v>35</v>
      </c>
      <c r="F80" t="s">
        <v>353</v>
      </c>
      <c r="G80" t="s">
        <v>354</v>
      </c>
      <c r="I80" t="b">
        <f t="shared" si="1"/>
        <v>0</v>
      </c>
      <c r="J80">
        <v>0.11458332836628</v>
      </c>
      <c r="K80">
        <v>3.5364132374525098E-2</v>
      </c>
      <c r="L80">
        <v>0.115384615957737</v>
      </c>
      <c r="M80">
        <v>0.38331642746925398</v>
      </c>
      <c r="N80">
        <v>0.160048633813858</v>
      </c>
      <c r="O80">
        <v>22</v>
      </c>
      <c r="P80">
        <v>3.6778700351715101</v>
      </c>
      <c r="Q80">
        <v>0.38950902223586997</v>
      </c>
      <c r="R80">
        <v>0.52635473012924205</v>
      </c>
      <c r="S80">
        <v>0.70180487632751498</v>
      </c>
      <c r="T80">
        <v>0.43671563267707803</v>
      </c>
      <c r="U80" t="s">
        <v>355</v>
      </c>
      <c r="V80" t="s">
        <v>356</v>
      </c>
      <c r="W80">
        <v>1.0748516502501999</v>
      </c>
      <c r="X80">
        <v>5</v>
      </c>
      <c r="Y80">
        <v>6</v>
      </c>
      <c r="Z80" t="s">
        <v>353</v>
      </c>
      <c r="AA80" t="s">
        <v>354</v>
      </c>
      <c r="AB80">
        <v>0.69349769999999999</v>
      </c>
      <c r="AC80">
        <v>0.70835720000000002</v>
      </c>
      <c r="AD80">
        <v>0.70092750000000004</v>
      </c>
      <c r="AE80">
        <v>0.31497199999999997</v>
      </c>
      <c r="AF80">
        <v>0.23918824999999999</v>
      </c>
      <c r="AG80">
        <v>0.27708011999999999</v>
      </c>
      <c r="AJ80" t="s">
        <v>48</v>
      </c>
    </row>
    <row r="81" spans="1:36" x14ac:dyDescent="0.2">
      <c r="A81">
        <v>79</v>
      </c>
      <c r="B81" t="s">
        <v>351</v>
      </c>
      <c r="C81" t="s">
        <v>357</v>
      </c>
      <c r="E81" t="s">
        <v>42</v>
      </c>
      <c r="F81" t="s">
        <v>353</v>
      </c>
      <c r="G81" t="s">
        <v>358</v>
      </c>
      <c r="I81" t="b">
        <f t="shared" si="1"/>
        <v>0</v>
      </c>
      <c r="J81">
        <v>0</v>
      </c>
      <c r="K81">
        <v>9.6955625340342001E-3</v>
      </c>
      <c r="L81">
        <v>2.8846153989434201E-2</v>
      </c>
      <c r="M81">
        <v>5.5356096476316501E-2</v>
      </c>
      <c r="N81">
        <v>6.04667067527771E-2</v>
      </c>
      <c r="O81">
        <v>0</v>
      </c>
      <c r="P81">
        <v>1.00833857059479</v>
      </c>
      <c r="Q81">
        <v>0.38950902223586997</v>
      </c>
      <c r="R81">
        <v>0.56460452079773005</v>
      </c>
      <c r="S81">
        <v>0.70180487632751498</v>
      </c>
      <c r="T81">
        <v>0.47892636060714699</v>
      </c>
      <c r="U81" t="s">
        <v>355</v>
      </c>
      <c r="V81" t="s">
        <v>359</v>
      </c>
      <c r="W81">
        <v>1.1366150171465199</v>
      </c>
      <c r="X81">
        <v>5</v>
      </c>
      <c r="Y81">
        <v>4</v>
      </c>
      <c r="Z81" t="s">
        <v>353</v>
      </c>
      <c r="AA81" t="s">
        <v>358</v>
      </c>
      <c r="AB81">
        <v>0.69349769999999999</v>
      </c>
      <c r="AC81">
        <v>0.79579840000000002</v>
      </c>
      <c r="AD81">
        <v>0.74464810000000003</v>
      </c>
      <c r="AE81">
        <v>0.31497199999999997</v>
      </c>
      <c r="AF81">
        <v>0.27219588</v>
      </c>
      <c r="AG81">
        <v>0.29358392999999999</v>
      </c>
      <c r="AJ81" t="s">
        <v>61</v>
      </c>
    </row>
    <row r="82" spans="1:36" x14ac:dyDescent="0.2">
      <c r="A82">
        <v>80</v>
      </c>
      <c r="B82" t="s">
        <v>351</v>
      </c>
      <c r="C82" t="s">
        <v>360</v>
      </c>
      <c r="E82" t="s">
        <v>46</v>
      </c>
      <c r="I82" t="b">
        <f t="shared" si="1"/>
        <v>0</v>
      </c>
      <c r="J82">
        <v>8.8541671633720398E-2</v>
      </c>
      <c r="K82">
        <v>0</v>
      </c>
      <c r="M82">
        <v>0.237132057547569</v>
      </c>
      <c r="N82">
        <v>1.0809711180627299E-2</v>
      </c>
      <c r="O82">
        <v>17</v>
      </c>
      <c r="P82">
        <v>0</v>
      </c>
      <c r="W82">
        <v>1.35712749587405</v>
      </c>
      <c r="X82">
        <v>5</v>
      </c>
      <c r="Y82">
        <v>3</v>
      </c>
      <c r="Z82" t="s">
        <v>353</v>
      </c>
      <c r="AA82" t="s">
        <v>361</v>
      </c>
      <c r="AB82">
        <v>0.69349769999999999</v>
      </c>
      <c r="AC82">
        <v>0.60379579999999999</v>
      </c>
      <c r="AD82">
        <v>0.64864679999999997</v>
      </c>
      <c r="AE82">
        <v>0.31497199999999997</v>
      </c>
      <c r="AF82">
        <v>1.3125149500000001E-2</v>
      </c>
      <c r="AG82">
        <v>0.16404858</v>
      </c>
      <c r="AJ82" t="s">
        <v>40</v>
      </c>
    </row>
    <row r="83" spans="1:36" x14ac:dyDescent="0.2">
      <c r="A83">
        <v>81</v>
      </c>
      <c r="B83" t="s">
        <v>362</v>
      </c>
      <c r="C83" t="s">
        <v>363</v>
      </c>
      <c r="E83" t="s">
        <v>35</v>
      </c>
      <c r="F83" t="s">
        <v>364</v>
      </c>
      <c r="G83" t="s">
        <v>365</v>
      </c>
      <c r="I83" t="b">
        <f t="shared" si="1"/>
        <v>0</v>
      </c>
      <c r="J83">
        <v>5.3658541291952098E-2</v>
      </c>
      <c r="K83">
        <v>1.32452957332134E-2</v>
      </c>
      <c r="L83">
        <v>0.133333340287209</v>
      </c>
      <c r="M83">
        <v>0.50962436199188199</v>
      </c>
      <c r="N83">
        <v>0.12356587499380101</v>
      </c>
      <c r="O83">
        <v>11</v>
      </c>
      <c r="P83">
        <v>1.5894354581832899</v>
      </c>
      <c r="Q83">
        <v>0.47508612275123602</v>
      </c>
      <c r="R83">
        <v>0.374015063047409</v>
      </c>
      <c r="S83">
        <v>0.29801914095878601</v>
      </c>
      <c r="T83">
        <v>0.33333334326744102</v>
      </c>
      <c r="U83" t="s">
        <v>366</v>
      </c>
      <c r="V83" t="s">
        <v>367</v>
      </c>
      <c r="W83">
        <v>0.49638803169756002</v>
      </c>
      <c r="X83">
        <v>6</v>
      </c>
      <c r="Y83">
        <v>5</v>
      </c>
      <c r="Z83" t="s">
        <v>368</v>
      </c>
      <c r="AA83" t="s">
        <v>365</v>
      </c>
      <c r="AB83">
        <v>0.78467120000000001</v>
      </c>
      <c r="AC83">
        <v>0.79873729999999998</v>
      </c>
      <c r="AD83">
        <v>0.79170423999999995</v>
      </c>
      <c r="AE83">
        <v>0.70466112999999997</v>
      </c>
      <c r="AF83">
        <v>0.52381900000000003</v>
      </c>
      <c r="AG83">
        <v>0.61424005000000004</v>
      </c>
      <c r="AJ83" t="s">
        <v>48</v>
      </c>
    </row>
    <row r="84" spans="1:36" x14ac:dyDescent="0.2">
      <c r="A84">
        <v>82</v>
      </c>
      <c r="B84" t="s">
        <v>362</v>
      </c>
      <c r="C84" t="s">
        <v>118</v>
      </c>
      <c r="E84" t="s">
        <v>42</v>
      </c>
      <c r="F84" t="s">
        <v>364</v>
      </c>
      <c r="G84" t="s">
        <v>120</v>
      </c>
      <c r="I84" t="b">
        <f t="shared" si="1"/>
        <v>0</v>
      </c>
      <c r="J84">
        <v>0</v>
      </c>
      <c r="K84">
        <v>1.64083689451218E-2</v>
      </c>
      <c r="L84">
        <v>7.5000002980232197E-2</v>
      </c>
      <c r="M84">
        <v>4.5940864831209197E-2</v>
      </c>
      <c r="N84">
        <v>4.4127572327852298E-2</v>
      </c>
      <c r="O84">
        <v>0</v>
      </c>
      <c r="P84">
        <v>1.96900427341461</v>
      </c>
      <c r="Q84">
        <v>0.47508612275123602</v>
      </c>
      <c r="R84">
        <v>0.29363948106765703</v>
      </c>
      <c r="S84">
        <v>0.29801914095878601</v>
      </c>
      <c r="T84">
        <v>0.73410803079605103</v>
      </c>
      <c r="U84" t="s">
        <v>366</v>
      </c>
      <c r="V84" t="s">
        <v>122</v>
      </c>
      <c r="W84">
        <v>1.0951893977832301</v>
      </c>
      <c r="X84">
        <v>6</v>
      </c>
      <c r="Y84">
        <v>5</v>
      </c>
      <c r="Z84" t="s">
        <v>368</v>
      </c>
      <c r="AA84" t="s">
        <v>120</v>
      </c>
      <c r="AB84">
        <v>0.78467120000000001</v>
      </c>
      <c r="AC84">
        <v>0.70150889999999999</v>
      </c>
      <c r="AD84">
        <v>0.74309002999999996</v>
      </c>
      <c r="AE84">
        <v>0.70466112999999997</v>
      </c>
      <c r="AF84">
        <v>0.25638013999999998</v>
      </c>
      <c r="AG84">
        <v>0.48052064</v>
      </c>
      <c r="AJ84" t="s">
        <v>61</v>
      </c>
    </row>
    <row r="85" spans="1:36" x14ac:dyDescent="0.2">
      <c r="A85">
        <v>83</v>
      </c>
      <c r="B85" t="s">
        <v>362</v>
      </c>
      <c r="C85" t="s">
        <v>369</v>
      </c>
      <c r="E85" t="s">
        <v>46</v>
      </c>
      <c r="I85" t="b">
        <f t="shared" si="1"/>
        <v>0</v>
      </c>
      <c r="J85">
        <v>2.43902485817671E-2</v>
      </c>
      <c r="K85">
        <v>0</v>
      </c>
      <c r="M85">
        <v>0.12647631764411901</v>
      </c>
      <c r="N85">
        <v>3.7899207323789597E-2</v>
      </c>
      <c r="O85">
        <v>5</v>
      </c>
      <c r="P85">
        <v>0</v>
      </c>
      <c r="W85">
        <v>0.59486391242989001</v>
      </c>
      <c r="X85">
        <v>6</v>
      </c>
      <c r="Y85">
        <v>6</v>
      </c>
      <c r="Z85" t="s">
        <v>368</v>
      </c>
      <c r="AA85" t="s">
        <v>370</v>
      </c>
      <c r="AB85">
        <v>0.78467120000000001</v>
      </c>
      <c r="AC85">
        <v>0.78461634999999996</v>
      </c>
      <c r="AD85">
        <v>0.78464376999999996</v>
      </c>
      <c r="AE85">
        <v>0.70466112999999997</v>
      </c>
      <c r="AF85">
        <v>0.40966824000000002</v>
      </c>
      <c r="AG85">
        <v>0.55716467000000003</v>
      </c>
      <c r="AJ85" t="s">
        <v>40</v>
      </c>
    </row>
    <row r="86" spans="1:36" x14ac:dyDescent="0.2">
      <c r="A86">
        <v>84</v>
      </c>
      <c r="B86" t="s">
        <v>371</v>
      </c>
      <c r="C86" t="s">
        <v>372</v>
      </c>
      <c r="E86" t="s">
        <v>35</v>
      </c>
      <c r="F86" t="s">
        <v>373</v>
      </c>
      <c r="G86" t="s">
        <v>374</v>
      </c>
      <c r="I86" t="b">
        <f t="shared" si="1"/>
        <v>0</v>
      </c>
      <c r="J86">
        <v>0.30088493227958701</v>
      </c>
      <c r="K86">
        <v>0.17592592537403101</v>
      </c>
      <c r="L86">
        <v>0.17592592537403101</v>
      </c>
      <c r="M86">
        <v>0.39889648556709301</v>
      </c>
      <c r="N86">
        <v>0.75180000066757202</v>
      </c>
      <c r="O86">
        <v>68</v>
      </c>
      <c r="P86">
        <v>19</v>
      </c>
      <c r="Q86">
        <v>0.26565241813659701</v>
      </c>
      <c r="R86">
        <v>0.57277429103851296</v>
      </c>
      <c r="S86">
        <v>1</v>
      </c>
      <c r="T86">
        <v>1</v>
      </c>
      <c r="U86" t="s">
        <v>39</v>
      </c>
      <c r="V86" t="s">
        <v>39</v>
      </c>
      <c r="W86">
        <v>0.363948941699475</v>
      </c>
      <c r="X86">
        <v>6</v>
      </c>
      <c r="Y86">
        <v>6</v>
      </c>
      <c r="Z86" t="s">
        <v>373</v>
      </c>
      <c r="AA86" t="s">
        <v>374</v>
      </c>
      <c r="AB86">
        <v>0.58154669999999997</v>
      </c>
      <c r="AC86">
        <v>0.73934619999999995</v>
      </c>
      <c r="AD86">
        <v>0.66044647000000001</v>
      </c>
      <c r="AE86">
        <v>0.73034673999999999</v>
      </c>
      <c r="AF86">
        <v>0.55189390000000005</v>
      </c>
      <c r="AG86">
        <v>0.64112029999999998</v>
      </c>
      <c r="AJ86" t="s">
        <v>40</v>
      </c>
    </row>
    <row r="87" spans="1:36" x14ac:dyDescent="0.2">
      <c r="A87">
        <v>85</v>
      </c>
      <c r="B87" t="s">
        <v>371</v>
      </c>
      <c r="C87" t="s">
        <v>274</v>
      </c>
      <c r="E87" t="s">
        <v>42</v>
      </c>
      <c r="F87" t="s">
        <v>373</v>
      </c>
      <c r="G87" t="s">
        <v>276</v>
      </c>
      <c r="I87" t="b">
        <f t="shared" si="1"/>
        <v>0</v>
      </c>
      <c r="J87">
        <v>0</v>
      </c>
      <c r="K87">
        <v>2.6238737627863901E-2</v>
      </c>
      <c r="L87">
        <v>6.4814813435077695E-2</v>
      </c>
      <c r="M87">
        <v>2.54822038114071E-2</v>
      </c>
      <c r="N87">
        <v>0.196300253272057</v>
      </c>
      <c r="O87">
        <v>0</v>
      </c>
      <c r="P87">
        <v>2.83378386497498</v>
      </c>
      <c r="Q87">
        <v>0.26565241813659701</v>
      </c>
      <c r="R87">
        <v>0.34589976072311401</v>
      </c>
      <c r="S87">
        <v>1</v>
      </c>
      <c r="T87">
        <v>0.40482625365257302</v>
      </c>
      <c r="U87" t="s">
        <v>39</v>
      </c>
      <c r="V87" t="s">
        <v>278</v>
      </c>
      <c r="W87">
        <v>1.1953414595104499</v>
      </c>
      <c r="X87">
        <v>6</v>
      </c>
      <c r="Y87">
        <v>8</v>
      </c>
      <c r="Z87" t="s">
        <v>373</v>
      </c>
      <c r="AA87" t="s">
        <v>280</v>
      </c>
      <c r="AB87">
        <v>0.58154669999999997</v>
      </c>
      <c r="AC87">
        <v>0.62111985999999997</v>
      </c>
      <c r="AD87">
        <v>0.60133325999999998</v>
      </c>
      <c r="AE87">
        <v>0.73034673999999999</v>
      </c>
      <c r="AF87">
        <v>0.13152725000000001</v>
      </c>
      <c r="AG87">
        <v>0.43093700000000001</v>
      </c>
      <c r="AJ87" t="s">
        <v>44</v>
      </c>
    </row>
    <row r="88" spans="1:36" x14ac:dyDescent="0.2">
      <c r="A88">
        <v>86</v>
      </c>
      <c r="B88" t="s">
        <v>371</v>
      </c>
      <c r="C88" t="s">
        <v>375</v>
      </c>
      <c r="E88" t="s">
        <v>46</v>
      </c>
      <c r="I88" t="b">
        <f t="shared" si="1"/>
        <v>0</v>
      </c>
      <c r="J88">
        <v>0.238938048481941</v>
      </c>
      <c r="K88">
        <v>0</v>
      </c>
      <c r="M88">
        <v>0.240984737873077</v>
      </c>
      <c r="N88">
        <v>4.1797831654548003E-3</v>
      </c>
      <c r="O88">
        <v>54</v>
      </c>
      <c r="P88">
        <v>0</v>
      </c>
      <c r="W88">
        <v>1.1885918288469299</v>
      </c>
      <c r="X88">
        <v>6</v>
      </c>
      <c r="Y88">
        <v>5</v>
      </c>
      <c r="Z88" t="s">
        <v>373</v>
      </c>
      <c r="AA88" t="s">
        <v>376</v>
      </c>
      <c r="AB88">
        <v>0.58154669999999997</v>
      </c>
      <c r="AC88">
        <v>0.74754430000000005</v>
      </c>
      <c r="AD88">
        <v>0.66454553999999999</v>
      </c>
      <c r="AE88">
        <v>0.73034673999999999</v>
      </c>
      <c r="AF88">
        <v>6.3074119999999997E-2</v>
      </c>
      <c r="AG88">
        <v>0.39671043</v>
      </c>
      <c r="AJ88" t="s">
        <v>48</v>
      </c>
    </row>
    <row r="89" spans="1:36" x14ac:dyDescent="0.2">
      <c r="A89">
        <v>87</v>
      </c>
      <c r="B89" t="s">
        <v>377</v>
      </c>
      <c r="C89" t="s">
        <v>378</v>
      </c>
      <c r="E89" t="s">
        <v>35</v>
      </c>
      <c r="F89" t="s">
        <v>379</v>
      </c>
      <c r="G89" t="s">
        <v>380</v>
      </c>
      <c r="I89" t="b">
        <f t="shared" si="1"/>
        <v>0</v>
      </c>
      <c r="J89">
        <v>4.7244086861610399E-2</v>
      </c>
      <c r="K89">
        <v>4.9382716417312601E-2</v>
      </c>
      <c r="L89">
        <v>4.9382716417312601E-2</v>
      </c>
      <c r="M89">
        <v>0.47697690129280101</v>
      </c>
      <c r="N89">
        <v>0.49520000815391502</v>
      </c>
      <c r="O89">
        <v>6</v>
      </c>
      <c r="P89">
        <v>4</v>
      </c>
      <c r="Q89">
        <v>0.34499228000640902</v>
      </c>
      <c r="R89">
        <v>0.29198428988456698</v>
      </c>
      <c r="S89">
        <v>1</v>
      </c>
      <c r="T89">
        <v>1</v>
      </c>
      <c r="U89" t="s">
        <v>39</v>
      </c>
      <c r="V89" t="s">
        <v>39</v>
      </c>
      <c r="W89">
        <v>1.0102230238544001</v>
      </c>
      <c r="X89">
        <v>6</v>
      </c>
      <c r="Y89">
        <v>6</v>
      </c>
      <c r="Z89" t="s">
        <v>379</v>
      </c>
      <c r="AA89" t="s">
        <v>380</v>
      </c>
      <c r="AB89">
        <v>0.66683820000000005</v>
      </c>
      <c r="AC89">
        <v>0.6921119</v>
      </c>
      <c r="AD89">
        <v>0.67947506999999996</v>
      </c>
      <c r="AE89">
        <v>0.23870078</v>
      </c>
      <c r="AF89">
        <v>0.32381082</v>
      </c>
      <c r="AG89">
        <v>0.28125578000000001</v>
      </c>
      <c r="AJ89" t="s">
        <v>48</v>
      </c>
    </row>
    <row r="90" spans="1:36" x14ac:dyDescent="0.2">
      <c r="A90">
        <v>88</v>
      </c>
      <c r="B90" t="s">
        <v>377</v>
      </c>
      <c r="C90" t="s">
        <v>381</v>
      </c>
      <c r="E90" t="s">
        <v>42</v>
      </c>
      <c r="F90" t="s">
        <v>379</v>
      </c>
      <c r="G90" t="s">
        <v>382</v>
      </c>
      <c r="I90" t="b">
        <f t="shared" si="1"/>
        <v>0</v>
      </c>
      <c r="J90">
        <v>0</v>
      </c>
      <c r="K90">
        <v>3.7037037312984501E-2</v>
      </c>
      <c r="L90">
        <v>3.7037037312984501E-2</v>
      </c>
      <c r="M90">
        <v>5.2098926156759297E-2</v>
      </c>
      <c r="N90">
        <v>0.118299998342991</v>
      </c>
      <c r="O90">
        <v>0</v>
      </c>
      <c r="P90">
        <v>3</v>
      </c>
      <c r="Q90">
        <v>0.34499228000640902</v>
      </c>
      <c r="R90">
        <v>0.25685280561447099</v>
      </c>
      <c r="S90">
        <v>1</v>
      </c>
      <c r="T90">
        <v>1</v>
      </c>
      <c r="U90" t="s">
        <v>39</v>
      </c>
      <c r="V90" t="s">
        <v>39</v>
      </c>
      <c r="W90">
        <v>1.4287530675133999</v>
      </c>
      <c r="X90">
        <v>6</v>
      </c>
      <c r="Y90">
        <v>5</v>
      </c>
      <c r="Z90" t="s">
        <v>379</v>
      </c>
      <c r="AA90" t="s">
        <v>382</v>
      </c>
      <c r="AB90">
        <v>0.66683820000000005</v>
      </c>
      <c r="AC90">
        <v>0.75243079999999996</v>
      </c>
      <c r="AD90">
        <v>0.70963454000000004</v>
      </c>
      <c r="AE90">
        <v>0.23870078</v>
      </c>
      <c r="AF90">
        <v>0.47288587999999998</v>
      </c>
      <c r="AG90">
        <v>0.35579333000000002</v>
      </c>
      <c r="AJ90" t="s">
        <v>61</v>
      </c>
    </row>
    <row r="91" spans="1:36" x14ac:dyDescent="0.2">
      <c r="A91">
        <v>89</v>
      </c>
      <c r="B91" t="s">
        <v>377</v>
      </c>
      <c r="C91" t="s">
        <v>383</v>
      </c>
      <c r="E91" t="s">
        <v>46</v>
      </c>
      <c r="I91" t="b">
        <f t="shared" si="1"/>
        <v>0</v>
      </c>
      <c r="J91">
        <v>2.3622054606676102E-2</v>
      </c>
      <c r="K91">
        <v>0</v>
      </c>
      <c r="M91">
        <v>0.27855911850929299</v>
      </c>
      <c r="N91">
        <v>3.9799999445676797E-2</v>
      </c>
      <c r="O91">
        <v>3</v>
      </c>
      <c r="P91">
        <v>0</v>
      </c>
      <c r="W91">
        <v>0.975752464232582</v>
      </c>
      <c r="X91">
        <v>6</v>
      </c>
      <c r="Y91">
        <v>5</v>
      </c>
      <c r="Z91" t="s">
        <v>379</v>
      </c>
      <c r="AA91" t="s">
        <v>384</v>
      </c>
      <c r="AB91">
        <v>0.66683820000000005</v>
      </c>
      <c r="AC91">
        <v>0.78923094000000005</v>
      </c>
      <c r="AD91">
        <v>0.72803459999999998</v>
      </c>
      <c r="AE91">
        <v>0.23870078</v>
      </c>
      <c r="AF91">
        <v>0.15093202999999999</v>
      </c>
      <c r="AG91">
        <v>0.19481641</v>
      </c>
      <c r="AJ91" t="s">
        <v>40</v>
      </c>
    </row>
    <row r="92" spans="1:36" x14ac:dyDescent="0.2">
      <c r="A92">
        <v>90</v>
      </c>
      <c r="B92" t="s">
        <v>385</v>
      </c>
      <c r="C92" t="s">
        <v>386</v>
      </c>
      <c r="E92" t="s">
        <v>35</v>
      </c>
      <c r="F92" t="s">
        <v>387</v>
      </c>
      <c r="G92" t="s">
        <v>388</v>
      </c>
      <c r="I92" t="b">
        <f t="shared" si="1"/>
        <v>1</v>
      </c>
      <c r="J92">
        <v>6.1855666339397403E-2</v>
      </c>
      <c r="K92">
        <v>3.8771558552980402E-2</v>
      </c>
      <c r="L92">
        <v>6.1855670064687701E-2</v>
      </c>
      <c r="M92">
        <v>0.342477947473526</v>
      </c>
      <c r="N92">
        <v>0.15889555215835599</v>
      </c>
      <c r="O92">
        <v>12</v>
      </c>
      <c r="P92">
        <v>3.7608413696289098</v>
      </c>
      <c r="Q92">
        <v>0.310974210500717</v>
      </c>
      <c r="R92">
        <v>0.28491798043250999</v>
      </c>
      <c r="S92">
        <v>0.82929527759552002</v>
      </c>
      <c r="T92">
        <v>0.75583076477050803</v>
      </c>
      <c r="U92" t="s">
        <v>389</v>
      </c>
      <c r="V92" t="s">
        <v>390</v>
      </c>
      <c r="W92">
        <v>0.183542576306198</v>
      </c>
      <c r="X92">
        <v>4</v>
      </c>
      <c r="Y92">
        <v>4</v>
      </c>
      <c r="Z92" t="s">
        <v>387</v>
      </c>
      <c r="AA92" t="s">
        <v>388</v>
      </c>
      <c r="AB92">
        <v>0.65922373999999995</v>
      </c>
      <c r="AC92">
        <v>0.6691163</v>
      </c>
      <c r="AD92">
        <v>0.66417000000000004</v>
      </c>
      <c r="AE92">
        <v>0.22844301</v>
      </c>
      <c r="AF92">
        <v>5.3380552999999997E-2</v>
      </c>
      <c r="AG92">
        <v>0.14091179000000001</v>
      </c>
      <c r="AJ92" t="s">
        <v>44</v>
      </c>
    </row>
    <row r="93" spans="1:36" x14ac:dyDescent="0.2">
      <c r="A93">
        <v>91</v>
      </c>
      <c r="B93" t="s">
        <v>385</v>
      </c>
      <c r="C93" t="s">
        <v>225</v>
      </c>
      <c r="E93" t="s">
        <v>42</v>
      </c>
      <c r="F93" t="s">
        <v>387</v>
      </c>
      <c r="G93" t="s">
        <v>226</v>
      </c>
      <c r="H93" t="s">
        <v>72</v>
      </c>
      <c r="I93" t="b">
        <f t="shared" si="1"/>
        <v>1</v>
      </c>
      <c r="J93">
        <v>0</v>
      </c>
      <c r="K93">
        <v>1.08657302334905E-2</v>
      </c>
      <c r="L93">
        <v>3.0927835032343899E-2</v>
      </c>
      <c r="M93">
        <v>2.5112910196185102E-2</v>
      </c>
      <c r="N93">
        <v>3.8364719599485397E-2</v>
      </c>
      <c r="O93">
        <v>0</v>
      </c>
      <c r="P93">
        <v>1.0539759397506701</v>
      </c>
      <c r="Q93">
        <v>0.310974210500717</v>
      </c>
      <c r="R93">
        <v>0.44410136342048601</v>
      </c>
      <c r="S93">
        <v>0.82929527759552002</v>
      </c>
      <c r="T93">
        <v>0.42364317178726202</v>
      </c>
      <c r="U93" t="s">
        <v>389</v>
      </c>
      <c r="V93" t="s">
        <v>391</v>
      </c>
      <c r="W93">
        <v>0.82473003812318402</v>
      </c>
      <c r="X93">
        <v>4</v>
      </c>
      <c r="Y93">
        <v>5</v>
      </c>
      <c r="Z93" t="s">
        <v>387</v>
      </c>
      <c r="AA93" t="s">
        <v>226</v>
      </c>
      <c r="AB93">
        <v>0.65922373999999995</v>
      </c>
      <c r="AC93">
        <v>0.67404330000000001</v>
      </c>
      <c r="AD93">
        <v>0.66663349999999999</v>
      </c>
      <c r="AE93">
        <v>0.22844301</v>
      </c>
      <c r="AF93">
        <v>0.26643600000000001</v>
      </c>
      <c r="AG93">
        <v>0.24743950000000001</v>
      </c>
      <c r="AJ93" t="s">
        <v>48</v>
      </c>
    </row>
    <row r="94" spans="1:36" x14ac:dyDescent="0.2">
      <c r="A94">
        <v>92</v>
      </c>
      <c r="B94" t="s">
        <v>385</v>
      </c>
      <c r="C94" t="s">
        <v>392</v>
      </c>
      <c r="E94" t="s">
        <v>46</v>
      </c>
      <c r="I94" t="b">
        <f t="shared" si="1"/>
        <v>1</v>
      </c>
      <c r="J94">
        <v>7.7319584786891896E-2</v>
      </c>
      <c r="K94">
        <v>0</v>
      </c>
      <c r="M94">
        <v>0.15737743675708801</v>
      </c>
      <c r="N94">
        <v>1.6337117180228199E-2</v>
      </c>
      <c r="O94">
        <v>15</v>
      </c>
      <c r="P94">
        <v>0</v>
      </c>
      <c r="W94">
        <v>0.95614506273417699</v>
      </c>
      <c r="X94">
        <v>4</v>
      </c>
      <c r="Y94">
        <v>5</v>
      </c>
      <c r="Z94" t="s">
        <v>387</v>
      </c>
      <c r="AA94" t="s">
        <v>393</v>
      </c>
      <c r="AB94">
        <v>0.65922373999999995</v>
      </c>
      <c r="AC94">
        <v>0.84963319999999998</v>
      </c>
      <c r="AD94">
        <v>0.75442849999999995</v>
      </c>
      <c r="AE94">
        <v>0.22844301</v>
      </c>
      <c r="AF94">
        <v>0.34169060000000001</v>
      </c>
      <c r="AG94">
        <v>0.28506680000000001</v>
      </c>
      <c r="AJ94" t="s">
        <v>61</v>
      </c>
    </row>
    <row r="95" spans="1:36" x14ac:dyDescent="0.2">
      <c r="A95">
        <v>93</v>
      </c>
      <c r="B95" t="s">
        <v>394</v>
      </c>
      <c r="C95" t="s">
        <v>395</v>
      </c>
      <c r="E95" t="s">
        <v>35</v>
      </c>
      <c r="F95" t="s">
        <v>396</v>
      </c>
      <c r="G95" t="s">
        <v>397</v>
      </c>
      <c r="I95" t="b">
        <f t="shared" si="1"/>
        <v>0</v>
      </c>
      <c r="J95">
        <v>1.9607836380600902E-2</v>
      </c>
      <c r="K95">
        <v>9.0384958311914999E-3</v>
      </c>
      <c r="L95">
        <v>2.9411764815449711E-2</v>
      </c>
      <c r="M95">
        <v>0.18959073722362499</v>
      </c>
      <c r="N95">
        <v>5.9648651629686397E-2</v>
      </c>
      <c r="O95">
        <v>4</v>
      </c>
      <c r="P95">
        <v>0.92192655801773105</v>
      </c>
      <c r="Q95">
        <v>0.21288408339023601</v>
      </c>
      <c r="R95">
        <v>0.459776401519775</v>
      </c>
      <c r="S95">
        <v>0.65254652500152599</v>
      </c>
      <c r="T95">
        <v>0.47093784809112599</v>
      </c>
      <c r="U95" t="s">
        <v>398</v>
      </c>
      <c r="V95" t="s">
        <v>399</v>
      </c>
      <c r="W95">
        <v>1.1199245251361201</v>
      </c>
      <c r="X95">
        <v>5</v>
      </c>
      <c r="Y95">
        <v>7</v>
      </c>
      <c r="Z95" t="s">
        <v>396</v>
      </c>
      <c r="AA95" t="s">
        <v>397</v>
      </c>
      <c r="AB95">
        <v>0.70576220000000001</v>
      </c>
      <c r="AC95">
        <v>0.78162175</v>
      </c>
      <c r="AD95">
        <v>0.74369200000000002</v>
      </c>
      <c r="AE95">
        <v>0.39005485000000001</v>
      </c>
      <c r="AF95">
        <v>0.28335782999999998</v>
      </c>
      <c r="AG95">
        <v>0.33670633999999999</v>
      </c>
      <c r="AH95" t="s">
        <v>72</v>
      </c>
      <c r="AI95" t="s">
        <v>76</v>
      </c>
      <c r="AJ95" t="s">
        <v>48</v>
      </c>
    </row>
    <row r="96" spans="1:36" x14ac:dyDescent="0.2">
      <c r="A96">
        <v>94</v>
      </c>
      <c r="B96" t="s">
        <v>394</v>
      </c>
      <c r="C96" t="s">
        <v>400</v>
      </c>
      <c r="E96" t="s">
        <v>42</v>
      </c>
      <c r="F96" t="s">
        <v>401</v>
      </c>
      <c r="G96" t="s">
        <v>402</v>
      </c>
      <c r="I96" t="b">
        <f t="shared" si="1"/>
        <v>0</v>
      </c>
      <c r="J96">
        <v>0</v>
      </c>
      <c r="K96">
        <v>3.4458193928003297E-2</v>
      </c>
      <c r="L96">
        <v>0.19834710657596599</v>
      </c>
      <c r="M96">
        <v>2.7040671557187999E-2</v>
      </c>
      <c r="N96">
        <v>8.9121818542480497E-2</v>
      </c>
      <c r="O96">
        <v>0</v>
      </c>
      <c r="P96">
        <v>4.1694416999816886</v>
      </c>
      <c r="Q96">
        <v>0.22461074590683</v>
      </c>
      <c r="R96">
        <v>0.29991933703422502</v>
      </c>
      <c r="S96">
        <v>0.34745347499847401</v>
      </c>
      <c r="T96">
        <v>0.5</v>
      </c>
      <c r="U96" t="s">
        <v>403</v>
      </c>
      <c r="V96" t="s">
        <v>404</v>
      </c>
      <c r="W96">
        <v>0.588714216803083</v>
      </c>
      <c r="X96">
        <v>5</v>
      </c>
      <c r="Y96">
        <v>4</v>
      </c>
      <c r="Z96" t="s">
        <v>396</v>
      </c>
      <c r="AA96" t="s">
        <v>405</v>
      </c>
      <c r="AB96">
        <v>0.70576220000000001</v>
      </c>
      <c r="AC96">
        <v>0.75006764999999997</v>
      </c>
      <c r="AD96">
        <v>0.72791490000000003</v>
      </c>
      <c r="AE96">
        <v>0.39005485000000001</v>
      </c>
      <c r="AF96">
        <v>0.49417633</v>
      </c>
      <c r="AG96">
        <v>0.4421156</v>
      </c>
      <c r="AJ96" t="s">
        <v>61</v>
      </c>
    </row>
    <row r="97" spans="1:36" x14ac:dyDescent="0.2">
      <c r="A97">
        <v>95</v>
      </c>
      <c r="B97" t="s">
        <v>394</v>
      </c>
      <c r="C97" t="s">
        <v>406</v>
      </c>
      <c r="E97" t="s">
        <v>46</v>
      </c>
      <c r="I97" t="b">
        <f t="shared" si="1"/>
        <v>0</v>
      </c>
      <c r="J97">
        <v>0.112745091319084</v>
      </c>
      <c r="K97">
        <v>0</v>
      </c>
      <c r="M97">
        <v>0.21270182728767401</v>
      </c>
      <c r="N97">
        <v>1.8467066809534999E-2</v>
      </c>
      <c r="O97">
        <v>23</v>
      </c>
      <c r="P97">
        <v>0</v>
      </c>
      <c r="W97">
        <v>1.33352818587239</v>
      </c>
      <c r="X97">
        <v>5</v>
      </c>
      <c r="Y97">
        <v>5</v>
      </c>
      <c r="Z97" t="s">
        <v>396</v>
      </c>
      <c r="AA97" t="s">
        <v>407</v>
      </c>
      <c r="AB97">
        <v>0.70576220000000001</v>
      </c>
      <c r="AC97">
        <v>0.52579759999999998</v>
      </c>
      <c r="AD97">
        <v>0.61577990000000005</v>
      </c>
      <c r="AE97">
        <v>0.39005485000000001</v>
      </c>
      <c r="AF97">
        <v>1.3533704000000001E-2</v>
      </c>
      <c r="AG97">
        <v>0.20179427999999999</v>
      </c>
      <c r="AJ97" t="s">
        <v>40</v>
      </c>
    </row>
    <row r="98" spans="1:36" x14ac:dyDescent="0.2">
      <c r="A98">
        <v>96</v>
      </c>
      <c r="B98" t="s">
        <v>408</v>
      </c>
      <c r="C98" t="s">
        <v>409</v>
      </c>
      <c r="E98" t="s">
        <v>35</v>
      </c>
      <c r="F98" t="s">
        <v>410</v>
      </c>
      <c r="G98" t="s">
        <v>411</v>
      </c>
      <c r="I98" t="b">
        <f t="shared" si="1"/>
        <v>0</v>
      </c>
      <c r="J98">
        <v>1.5625005587935399E-2</v>
      </c>
      <c r="K98">
        <v>2.80373822897673E-2</v>
      </c>
      <c r="L98">
        <v>2.80373822897673E-2</v>
      </c>
      <c r="M98">
        <v>0.26082623004913302</v>
      </c>
      <c r="N98">
        <v>0.393900007009506</v>
      </c>
      <c r="O98">
        <v>3</v>
      </c>
      <c r="P98">
        <v>3</v>
      </c>
      <c r="Q98">
        <v>0.22807346284389499</v>
      </c>
      <c r="R98">
        <v>0.30284827947616599</v>
      </c>
      <c r="S98">
        <v>1</v>
      </c>
      <c r="T98">
        <v>1</v>
      </c>
      <c r="U98" t="s">
        <v>39</v>
      </c>
      <c r="V98" t="s">
        <v>39</v>
      </c>
      <c r="W98">
        <v>1.1529667055217001</v>
      </c>
      <c r="X98">
        <v>4</v>
      </c>
      <c r="Y98">
        <v>4</v>
      </c>
      <c r="Z98" t="s">
        <v>410</v>
      </c>
      <c r="AA98" t="s">
        <v>411</v>
      </c>
      <c r="AB98">
        <v>0.73596709999999999</v>
      </c>
      <c r="AC98">
        <v>0.6118962</v>
      </c>
      <c r="AD98">
        <v>0.67393166000000004</v>
      </c>
      <c r="AE98">
        <v>0.12801418000000001</v>
      </c>
      <c r="AF98">
        <v>3.8814044999999998E-2</v>
      </c>
      <c r="AG98">
        <v>8.341411E-2</v>
      </c>
      <c r="AJ98" t="s">
        <v>48</v>
      </c>
    </row>
    <row r="99" spans="1:36" x14ac:dyDescent="0.2">
      <c r="A99">
        <v>97</v>
      </c>
      <c r="B99" t="s">
        <v>408</v>
      </c>
      <c r="C99" t="s">
        <v>412</v>
      </c>
      <c r="E99" t="s">
        <v>42</v>
      </c>
      <c r="F99" t="s">
        <v>410</v>
      </c>
      <c r="G99" t="s">
        <v>413</v>
      </c>
      <c r="I99" t="b">
        <f t="shared" si="1"/>
        <v>0</v>
      </c>
      <c r="J99">
        <v>0</v>
      </c>
      <c r="K99">
        <v>5.1004536449909203E-2</v>
      </c>
      <c r="L99">
        <v>0.11214952915906901</v>
      </c>
      <c r="M99">
        <v>6.3357546925544697E-2</v>
      </c>
      <c r="N99">
        <v>0.22775906324386599</v>
      </c>
      <c r="O99">
        <v>0</v>
      </c>
      <c r="P99">
        <v>5.4574851989746103</v>
      </c>
      <c r="Q99">
        <v>0.22807346284389499</v>
      </c>
      <c r="R99">
        <v>0.578488409519196</v>
      </c>
      <c r="S99">
        <v>1</v>
      </c>
      <c r="T99">
        <v>0.39361271262168901</v>
      </c>
      <c r="U99" t="s">
        <v>39</v>
      </c>
      <c r="V99" t="s">
        <v>414</v>
      </c>
      <c r="W99">
        <v>1.4701775964521</v>
      </c>
      <c r="X99">
        <v>4</v>
      </c>
      <c r="Y99">
        <v>7</v>
      </c>
      <c r="Z99" t="s">
        <v>410</v>
      </c>
      <c r="AA99" t="s">
        <v>415</v>
      </c>
      <c r="AB99">
        <v>0.73596709999999999</v>
      </c>
      <c r="AC99">
        <v>0.79986226999999999</v>
      </c>
      <c r="AD99">
        <v>0.76791465000000003</v>
      </c>
      <c r="AE99">
        <v>0.12801418000000001</v>
      </c>
      <c r="AF99">
        <v>0.16726188</v>
      </c>
      <c r="AG99">
        <v>0.14763802000000001</v>
      </c>
      <c r="AJ99" t="s">
        <v>61</v>
      </c>
    </row>
    <row r="100" spans="1:36" x14ac:dyDescent="0.2">
      <c r="A100">
        <v>98</v>
      </c>
      <c r="B100" t="s">
        <v>408</v>
      </c>
      <c r="C100" t="s">
        <v>416</v>
      </c>
      <c r="E100" t="s">
        <v>46</v>
      </c>
      <c r="I100" t="b">
        <f t="shared" si="1"/>
        <v>0</v>
      </c>
      <c r="J100">
        <v>7.8125E-2</v>
      </c>
      <c r="K100">
        <v>0</v>
      </c>
      <c r="M100">
        <v>0.193741470575333</v>
      </c>
      <c r="N100">
        <v>3.9850000292062801E-2</v>
      </c>
      <c r="O100">
        <v>15</v>
      </c>
      <c r="P100">
        <v>0</v>
      </c>
      <c r="W100">
        <v>0.97312861635058701</v>
      </c>
      <c r="X100">
        <v>4</v>
      </c>
      <c r="Y100">
        <v>6</v>
      </c>
      <c r="Z100" t="s">
        <v>410</v>
      </c>
      <c r="AA100" t="s">
        <v>417</v>
      </c>
      <c r="AB100">
        <v>0.73596709999999999</v>
      </c>
      <c r="AC100">
        <v>0.85859229999999997</v>
      </c>
      <c r="AD100">
        <v>0.79727970000000004</v>
      </c>
      <c r="AE100">
        <v>0.12801418000000001</v>
      </c>
      <c r="AF100">
        <v>0.29654049999999998</v>
      </c>
      <c r="AG100">
        <v>0.21227734000000001</v>
      </c>
      <c r="AJ100" t="s">
        <v>40</v>
      </c>
    </row>
    <row r="101" spans="1:36" x14ac:dyDescent="0.2">
      <c r="A101">
        <v>99</v>
      </c>
      <c r="B101" t="s">
        <v>418</v>
      </c>
      <c r="C101" t="s">
        <v>419</v>
      </c>
      <c r="E101" t="s">
        <v>35</v>
      </c>
      <c r="F101" t="s">
        <v>420</v>
      </c>
      <c r="G101" t="s">
        <v>421</v>
      </c>
      <c r="I101" t="b">
        <f t="shared" si="1"/>
        <v>0</v>
      </c>
      <c r="J101">
        <v>0.171123042702675</v>
      </c>
      <c r="K101">
        <v>2.8869301080703701E-2</v>
      </c>
      <c r="L101">
        <v>0.227272734045982</v>
      </c>
      <c r="M101">
        <v>0.28982299566268899</v>
      </c>
      <c r="N101">
        <v>5.8901812881231301E-2</v>
      </c>
      <c r="O101">
        <v>32</v>
      </c>
      <c r="P101">
        <v>3.1756231784820601</v>
      </c>
      <c r="Q101">
        <v>0.35402965545654302</v>
      </c>
      <c r="R101">
        <v>0.31060773134231601</v>
      </c>
      <c r="S101">
        <v>0.54465460777282704</v>
      </c>
      <c r="T101">
        <v>0.23322105407714799</v>
      </c>
      <c r="U101" t="s">
        <v>422</v>
      </c>
      <c r="V101" t="s">
        <v>423</v>
      </c>
      <c r="W101">
        <v>1.4228375545815599</v>
      </c>
      <c r="X101">
        <v>6</v>
      </c>
      <c r="Y101">
        <v>8</v>
      </c>
      <c r="Z101" t="s">
        <v>420</v>
      </c>
      <c r="AA101" t="s">
        <v>424</v>
      </c>
      <c r="AB101">
        <v>0.70480790000000004</v>
      </c>
      <c r="AC101">
        <v>0.76135147000000003</v>
      </c>
      <c r="AD101">
        <v>0.7330797</v>
      </c>
      <c r="AE101">
        <v>0.5883543</v>
      </c>
      <c r="AF101">
        <v>0.24250274999999999</v>
      </c>
      <c r="AG101">
        <v>0.41542852000000002</v>
      </c>
      <c r="AJ101" t="s">
        <v>61</v>
      </c>
    </row>
    <row r="102" spans="1:36" x14ac:dyDescent="0.2">
      <c r="A102">
        <v>100</v>
      </c>
      <c r="B102" t="s">
        <v>418</v>
      </c>
      <c r="C102" t="s">
        <v>425</v>
      </c>
      <c r="E102" t="s">
        <v>42</v>
      </c>
      <c r="F102" t="s">
        <v>426</v>
      </c>
      <c r="G102" t="s">
        <v>427</v>
      </c>
      <c r="I102" t="b">
        <f t="shared" si="1"/>
        <v>0</v>
      </c>
      <c r="J102">
        <v>0</v>
      </c>
      <c r="K102">
        <v>1.8946699798107099E-2</v>
      </c>
      <c r="L102">
        <v>7.0175439119339003E-2</v>
      </c>
      <c r="M102">
        <v>5.5254802107811002E-2</v>
      </c>
      <c r="N102">
        <v>0.221020847558975</v>
      </c>
      <c r="O102">
        <v>0</v>
      </c>
      <c r="P102">
        <v>2.15992379188538</v>
      </c>
      <c r="Q102">
        <v>0.30402055382728599</v>
      </c>
      <c r="R102">
        <v>0.259058058261871</v>
      </c>
      <c r="S102">
        <v>0.269990473985672</v>
      </c>
      <c r="T102">
        <v>1</v>
      </c>
      <c r="U102" t="s">
        <v>428</v>
      </c>
      <c r="V102" t="s">
        <v>39</v>
      </c>
      <c r="W102">
        <v>1.4317006762039299</v>
      </c>
      <c r="X102">
        <v>6</v>
      </c>
      <c r="Y102">
        <v>6</v>
      </c>
      <c r="Z102" t="s">
        <v>420</v>
      </c>
      <c r="AA102" t="s">
        <v>427</v>
      </c>
      <c r="AB102">
        <v>0.70480790000000004</v>
      </c>
      <c r="AC102">
        <v>0.57752943000000001</v>
      </c>
      <c r="AD102">
        <v>0.64116865000000001</v>
      </c>
      <c r="AE102">
        <v>0.5883543</v>
      </c>
      <c r="AF102">
        <v>0.19068871000000001</v>
      </c>
      <c r="AG102">
        <v>0.38952150000000002</v>
      </c>
      <c r="AJ102" t="s">
        <v>40</v>
      </c>
    </row>
    <row r="103" spans="1:36" x14ac:dyDescent="0.2">
      <c r="A103">
        <v>101</v>
      </c>
      <c r="B103" t="s">
        <v>418</v>
      </c>
      <c r="C103" t="s">
        <v>429</v>
      </c>
      <c r="E103" t="s">
        <v>46</v>
      </c>
      <c r="I103" t="b">
        <f t="shared" si="1"/>
        <v>0</v>
      </c>
      <c r="J103">
        <v>3.2085556536912897E-2</v>
      </c>
      <c r="K103">
        <v>0</v>
      </c>
      <c r="M103">
        <v>0.19656424224376701</v>
      </c>
      <c r="N103">
        <v>1.6805650666356101E-2</v>
      </c>
      <c r="O103">
        <v>6</v>
      </c>
      <c r="P103">
        <v>0</v>
      </c>
      <c r="W103">
        <v>0.31496384369557801</v>
      </c>
      <c r="X103">
        <v>6</v>
      </c>
      <c r="Y103">
        <v>6</v>
      </c>
      <c r="Z103" t="s">
        <v>420</v>
      </c>
      <c r="AA103" t="s">
        <v>430</v>
      </c>
      <c r="AB103">
        <v>0.70480790000000004</v>
      </c>
      <c r="AC103">
        <v>0.52237904000000002</v>
      </c>
      <c r="AD103">
        <v>0.61359346000000003</v>
      </c>
      <c r="AE103">
        <v>0.5883543</v>
      </c>
      <c r="AF103">
        <v>4.4025992999999998E-3</v>
      </c>
      <c r="AG103">
        <v>0.29637843000000003</v>
      </c>
      <c r="AJ103" t="s">
        <v>44</v>
      </c>
    </row>
    <row r="104" spans="1:36" x14ac:dyDescent="0.2">
      <c r="A104">
        <v>102</v>
      </c>
      <c r="B104" t="s">
        <v>431</v>
      </c>
      <c r="C104" t="s">
        <v>432</v>
      </c>
      <c r="E104" t="s">
        <v>35</v>
      </c>
      <c r="F104" t="s">
        <v>433</v>
      </c>
      <c r="G104" t="s">
        <v>434</v>
      </c>
      <c r="I104" t="b">
        <f t="shared" si="1"/>
        <v>0</v>
      </c>
      <c r="J104">
        <v>0.160621717572212</v>
      </c>
      <c r="K104">
        <v>1.1161186732351801E-2</v>
      </c>
      <c r="L104">
        <v>2.5423727929592101E-2</v>
      </c>
      <c r="M104">
        <v>0.39114725589752197</v>
      </c>
      <c r="N104">
        <v>0.17288082838058499</v>
      </c>
      <c r="O104">
        <v>31</v>
      </c>
      <c r="P104">
        <v>1.3170200586319001</v>
      </c>
      <c r="Q104">
        <v>0.44711792469024703</v>
      </c>
      <c r="R104">
        <v>0.28073722124099698</v>
      </c>
      <c r="S104">
        <v>1</v>
      </c>
      <c r="T104">
        <v>0.43900668621063199</v>
      </c>
      <c r="U104" t="s">
        <v>39</v>
      </c>
      <c r="V104" t="s">
        <v>435</v>
      </c>
      <c r="W104">
        <v>1.0793620048741199</v>
      </c>
      <c r="X104">
        <v>6</v>
      </c>
      <c r="Y104">
        <v>4</v>
      </c>
      <c r="Z104" t="s">
        <v>433</v>
      </c>
      <c r="AA104" t="s">
        <v>434</v>
      </c>
      <c r="AB104">
        <v>0.73797250000000003</v>
      </c>
      <c r="AC104">
        <v>0.75857437000000005</v>
      </c>
      <c r="AD104">
        <v>0.74827343000000002</v>
      </c>
      <c r="AE104">
        <v>0.41177427999999999</v>
      </c>
      <c r="AF104">
        <v>0.42855527999999998</v>
      </c>
      <c r="AG104">
        <v>0.42016476000000003</v>
      </c>
      <c r="AJ104" t="s">
        <v>40</v>
      </c>
    </row>
    <row r="105" spans="1:36" x14ac:dyDescent="0.2">
      <c r="A105">
        <v>103</v>
      </c>
      <c r="B105" t="s">
        <v>431</v>
      </c>
      <c r="C105" t="s">
        <v>436</v>
      </c>
      <c r="E105" t="s">
        <v>42</v>
      </c>
      <c r="F105" t="s">
        <v>433</v>
      </c>
      <c r="G105" t="s">
        <v>437</v>
      </c>
      <c r="I105" t="b">
        <f t="shared" si="1"/>
        <v>0</v>
      </c>
      <c r="J105">
        <v>0</v>
      </c>
      <c r="K105">
        <v>9.5838075503705995E-3</v>
      </c>
      <c r="L105">
        <v>4.2372882366180399E-2</v>
      </c>
      <c r="M105">
        <v>8.7919058278202993E-3</v>
      </c>
      <c r="N105">
        <v>2.1215483546257002E-2</v>
      </c>
      <c r="O105">
        <v>0</v>
      </c>
      <c r="P105">
        <v>1.1308892965316799</v>
      </c>
      <c r="Q105">
        <v>0.44711792469024703</v>
      </c>
      <c r="R105">
        <v>0.25709921121597301</v>
      </c>
      <c r="S105">
        <v>1</v>
      </c>
      <c r="T105">
        <v>0.22617785632610299</v>
      </c>
      <c r="U105" t="s">
        <v>39</v>
      </c>
      <c r="V105" t="s">
        <v>438</v>
      </c>
      <c r="W105">
        <v>1.4962948898080799</v>
      </c>
      <c r="X105">
        <v>6</v>
      </c>
      <c r="Y105">
        <v>4</v>
      </c>
      <c r="Z105" t="s">
        <v>433</v>
      </c>
      <c r="AA105" t="s">
        <v>439</v>
      </c>
      <c r="AB105">
        <v>0.73797250000000003</v>
      </c>
      <c r="AC105">
        <v>0.70106053000000002</v>
      </c>
      <c r="AD105">
        <v>0.7195165</v>
      </c>
      <c r="AE105">
        <v>0.41177427999999999</v>
      </c>
      <c r="AF105">
        <v>0.101873435</v>
      </c>
      <c r="AG105">
        <v>0.25682387000000001</v>
      </c>
      <c r="AJ105" t="s">
        <v>44</v>
      </c>
    </row>
    <row r="106" spans="1:36" x14ac:dyDescent="0.2">
      <c r="A106">
        <v>104</v>
      </c>
      <c r="B106" t="s">
        <v>431</v>
      </c>
      <c r="C106" t="s">
        <v>440</v>
      </c>
      <c r="E106" t="s">
        <v>46</v>
      </c>
      <c r="I106" t="b">
        <f t="shared" si="1"/>
        <v>0</v>
      </c>
      <c r="J106">
        <v>3.10880914330483E-2</v>
      </c>
      <c r="K106">
        <v>0</v>
      </c>
      <c r="M106">
        <v>0.19812658429145799</v>
      </c>
      <c r="N106">
        <v>2.3546157404780398E-2</v>
      </c>
      <c r="O106">
        <v>6</v>
      </c>
      <c r="P106">
        <v>0</v>
      </c>
      <c r="W106">
        <v>1.4257530964193601</v>
      </c>
      <c r="X106">
        <v>6</v>
      </c>
      <c r="Y106">
        <v>4</v>
      </c>
      <c r="Z106" t="s">
        <v>433</v>
      </c>
      <c r="AA106" t="s">
        <v>441</v>
      </c>
      <c r="AB106">
        <v>0.73797250000000003</v>
      </c>
      <c r="AC106">
        <v>0.76584079999999999</v>
      </c>
      <c r="AD106">
        <v>0.75190663000000002</v>
      </c>
      <c r="AE106">
        <v>0.41177427999999999</v>
      </c>
      <c r="AF106">
        <v>0.30135604999999999</v>
      </c>
      <c r="AG106">
        <v>0.35656517999999998</v>
      </c>
      <c r="AJ106" t="s">
        <v>48</v>
      </c>
    </row>
    <row r="107" spans="1:36" x14ac:dyDescent="0.2">
      <c r="A107">
        <v>105</v>
      </c>
      <c r="B107" t="s">
        <v>442</v>
      </c>
      <c r="C107" t="s">
        <v>443</v>
      </c>
      <c r="E107" t="s">
        <v>35</v>
      </c>
      <c r="F107" t="s">
        <v>444</v>
      </c>
      <c r="G107" t="s">
        <v>445</v>
      </c>
      <c r="I107" t="b">
        <f t="shared" si="1"/>
        <v>0</v>
      </c>
      <c r="J107">
        <v>5.0632908940315302E-2</v>
      </c>
      <c r="K107">
        <v>1.00753363221884E-2</v>
      </c>
      <c r="L107">
        <v>5.0505049526691437E-2</v>
      </c>
      <c r="M107">
        <v>9.2704594135284396E-2</v>
      </c>
      <c r="N107">
        <v>6.5570920705795302E-2</v>
      </c>
      <c r="O107">
        <v>8</v>
      </c>
      <c r="P107">
        <v>0.99745833873748802</v>
      </c>
      <c r="Q107">
        <v>0.24545381963252999</v>
      </c>
      <c r="R107">
        <v>0.45928931236267101</v>
      </c>
      <c r="S107">
        <v>0.5</v>
      </c>
      <c r="T107">
        <v>0.39898332953453097</v>
      </c>
      <c r="U107" t="s">
        <v>446</v>
      </c>
      <c r="V107" t="s">
        <v>447</v>
      </c>
      <c r="W107">
        <v>1.3466430079752301</v>
      </c>
      <c r="X107">
        <v>4</v>
      </c>
      <c r="Y107">
        <v>6</v>
      </c>
      <c r="Z107" t="s">
        <v>448</v>
      </c>
      <c r="AA107" t="s">
        <v>449</v>
      </c>
      <c r="AB107">
        <v>0.76610480000000003</v>
      </c>
      <c r="AC107">
        <v>0.72047174000000003</v>
      </c>
      <c r="AD107">
        <v>0.74328830000000001</v>
      </c>
      <c r="AE107">
        <v>0.29184504999999999</v>
      </c>
      <c r="AF107">
        <v>0.36632787999999999</v>
      </c>
      <c r="AG107">
        <v>0.32908648000000001</v>
      </c>
      <c r="AH107" t="s">
        <v>72</v>
      </c>
      <c r="AI107" t="s">
        <v>76</v>
      </c>
      <c r="AJ107" t="s">
        <v>40</v>
      </c>
    </row>
    <row r="108" spans="1:36" x14ac:dyDescent="0.2">
      <c r="A108">
        <v>106</v>
      </c>
      <c r="B108" t="s">
        <v>442</v>
      </c>
      <c r="C108" t="s">
        <v>450</v>
      </c>
      <c r="E108" t="s">
        <v>42</v>
      </c>
      <c r="F108" t="s">
        <v>444</v>
      </c>
      <c r="G108" t="s">
        <v>451</v>
      </c>
      <c r="I108" t="b">
        <f t="shared" si="1"/>
        <v>0</v>
      </c>
      <c r="J108">
        <v>0</v>
      </c>
      <c r="K108">
        <v>1.5790361911058402E-2</v>
      </c>
      <c r="L108">
        <v>0.111111111938953</v>
      </c>
      <c r="M108">
        <v>5.0420664250850698E-2</v>
      </c>
      <c r="N108">
        <v>6.9294422864913899E-2</v>
      </c>
      <c r="O108">
        <v>0</v>
      </c>
      <c r="P108">
        <v>1.5632457733154299</v>
      </c>
      <c r="Q108">
        <v>0.24545381963252999</v>
      </c>
      <c r="R108">
        <v>0.51867550611496005</v>
      </c>
      <c r="S108">
        <v>0.5</v>
      </c>
      <c r="T108">
        <v>0.28422650694847101</v>
      </c>
      <c r="U108" t="s">
        <v>446</v>
      </c>
      <c r="V108" t="s">
        <v>452</v>
      </c>
      <c r="W108">
        <v>0.67160526928433095</v>
      </c>
      <c r="X108">
        <v>4</v>
      </c>
      <c r="Y108">
        <v>3</v>
      </c>
      <c r="Z108" t="s">
        <v>448</v>
      </c>
      <c r="AA108" t="s">
        <v>453</v>
      </c>
      <c r="AB108">
        <v>0.76610480000000003</v>
      </c>
      <c r="AC108">
        <v>0.82302909999999996</v>
      </c>
      <c r="AD108">
        <v>0.79456700000000002</v>
      </c>
      <c r="AE108">
        <v>0.29184504999999999</v>
      </c>
      <c r="AF108">
        <v>0.22502257000000001</v>
      </c>
      <c r="AG108">
        <v>0.25843381999999998</v>
      </c>
      <c r="AJ108" t="s">
        <v>44</v>
      </c>
    </row>
    <row r="109" spans="1:36" x14ac:dyDescent="0.2">
      <c r="A109">
        <v>107</v>
      </c>
      <c r="B109" t="s">
        <v>442</v>
      </c>
      <c r="C109" t="s">
        <v>454</v>
      </c>
      <c r="E109" t="s">
        <v>46</v>
      </c>
      <c r="I109" t="b">
        <f t="shared" si="1"/>
        <v>0</v>
      </c>
      <c r="J109">
        <v>2.5316454470157599E-2</v>
      </c>
      <c r="K109">
        <v>0</v>
      </c>
      <c r="M109">
        <v>7.6640591025352506E-2</v>
      </c>
      <c r="N109">
        <v>4.0073697455227002E-3</v>
      </c>
      <c r="O109">
        <v>4</v>
      </c>
      <c r="P109">
        <v>0</v>
      </c>
      <c r="W109">
        <v>1.1471464059791501</v>
      </c>
      <c r="X109">
        <v>4</v>
      </c>
      <c r="Y109">
        <v>4</v>
      </c>
      <c r="Z109" t="s">
        <v>448</v>
      </c>
      <c r="AA109" t="s">
        <v>455</v>
      </c>
      <c r="AB109">
        <v>0.76610480000000003</v>
      </c>
      <c r="AC109">
        <v>0.73249969999999998</v>
      </c>
      <c r="AD109">
        <v>0.74930227000000005</v>
      </c>
      <c r="AE109">
        <v>0.29184504999999999</v>
      </c>
      <c r="AF109">
        <v>0.42093036</v>
      </c>
      <c r="AG109">
        <v>0.35638769999999997</v>
      </c>
      <c r="AH109" t="s">
        <v>72</v>
      </c>
      <c r="AI109" t="s">
        <v>76</v>
      </c>
      <c r="AJ109" t="s">
        <v>48</v>
      </c>
    </row>
    <row r="110" spans="1:36" x14ac:dyDescent="0.2">
      <c r="A110">
        <v>108</v>
      </c>
      <c r="B110" t="s">
        <v>456</v>
      </c>
      <c r="C110" t="s">
        <v>457</v>
      </c>
      <c r="E110" t="s">
        <v>35</v>
      </c>
      <c r="F110" t="s">
        <v>458</v>
      </c>
      <c r="G110" t="s">
        <v>459</v>
      </c>
      <c r="I110" t="b">
        <f t="shared" si="1"/>
        <v>0</v>
      </c>
      <c r="J110">
        <v>6.1452519148588201E-2</v>
      </c>
      <c r="K110">
        <v>5.4646797478198998E-2</v>
      </c>
      <c r="L110">
        <v>0.10810811072588</v>
      </c>
      <c r="M110">
        <v>0.24686054885387401</v>
      </c>
      <c r="N110">
        <v>0.17302678525447801</v>
      </c>
      <c r="O110">
        <v>11</v>
      </c>
      <c r="P110">
        <v>6.0657939910888699</v>
      </c>
      <c r="Q110">
        <v>0.44188019633293202</v>
      </c>
      <c r="R110">
        <v>0.52527201175689697</v>
      </c>
      <c r="S110">
        <v>1</v>
      </c>
      <c r="T110">
        <v>0.50548285245895397</v>
      </c>
      <c r="U110" t="s">
        <v>39</v>
      </c>
      <c r="V110" t="s">
        <v>460</v>
      </c>
      <c r="W110">
        <v>1.4720717228106099</v>
      </c>
      <c r="X110">
        <v>5</v>
      </c>
      <c r="Y110">
        <v>3</v>
      </c>
      <c r="Z110" t="s">
        <v>458</v>
      </c>
      <c r="AA110" t="s">
        <v>459</v>
      </c>
      <c r="AB110">
        <v>0.76699733999999997</v>
      </c>
      <c r="AC110">
        <v>0.78748375000000004</v>
      </c>
      <c r="AD110">
        <v>0.7772405</v>
      </c>
      <c r="AE110">
        <v>0.21407603</v>
      </c>
      <c r="AF110">
        <v>0.52629459999999995</v>
      </c>
      <c r="AG110">
        <v>0.37018531999999998</v>
      </c>
      <c r="AJ110" t="s">
        <v>40</v>
      </c>
    </row>
    <row r="111" spans="1:36" x14ac:dyDescent="0.2">
      <c r="A111">
        <v>109</v>
      </c>
      <c r="B111" t="s">
        <v>456</v>
      </c>
      <c r="C111" t="s">
        <v>461</v>
      </c>
      <c r="E111" t="s">
        <v>42</v>
      </c>
      <c r="F111" t="s">
        <v>458</v>
      </c>
      <c r="G111" t="s">
        <v>462</v>
      </c>
      <c r="I111" t="b">
        <f t="shared" si="1"/>
        <v>0</v>
      </c>
      <c r="J111">
        <v>0</v>
      </c>
      <c r="K111">
        <v>0.10810811072588</v>
      </c>
      <c r="L111">
        <v>0.10810811072588</v>
      </c>
      <c r="M111">
        <v>1.8688470125198399E-2</v>
      </c>
      <c r="N111">
        <v>0.25990000367164601</v>
      </c>
      <c r="O111">
        <v>0</v>
      </c>
      <c r="P111">
        <v>12</v>
      </c>
      <c r="Q111">
        <v>0.44188019633293202</v>
      </c>
      <c r="R111">
        <v>0.40558460354804998</v>
      </c>
      <c r="S111">
        <v>1</v>
      </c>
      <c r="T111">
        <v>1</v>
      </c>
      <c r="U111" t="s">
        <v>39</v>
      </c>
      <c r="V111" t="s">
        <v>39</v>
      </c>
      <c r="W111">
        <v>0.99456626329388598</v>
      </c>
      <c r="X111">
        <v>5</v>
      </c>
      <c r="Y111">
        <v>7</v>
      </c>
      <c r="Z111" t="s">
        <v>458</v>
      </c>
      <c r="AA111" t="s">
        <v>462</v>
      </c>
      <c r="AB111">
        <v>0.76699733999999997</v>
      </c>
      <c r="AC111">
        <v>0.8009887</v>
      </c>
      <c r="AD111">
        <v>0.78399300000000005</v>
      </c>
      <c r="AE111">
        <v>0.21407603</v>
      </c>
      <c r="AF111">
        <v>0.16013907999999999</v>
      </c>
      <c r="AG111">
        <v>0.18710756000000001</v>
      </c>
      <c r="AJ111" t="s">
        <v>44</v>
      </c>
    </row>
    <row r="112" spans="1:36" x14ac:dyDescent="0.2">
      <c r="A112">
        <v>110</v>
      </c>
      <c r="B112" t="s">
        <v>456</v>
      </c>
      <c r="C112" t="s">
        <v>463</v>
      </c>
      <c r="E112" t="s">
        <v>46</v>
      </c>
      <c r="I112" t="b">
        <f t="shared" si="1"/>
        <v>0</v>
      </c>
      <c r="J112">
        <v>3.3519547432661098E-2</v>
      </c>
      <c r="K112">
        <v>0</v>
      </c>
      <c r="M112">
        <v>0.52972763776779197</v>
      </c>
      <c r="N112">
        <v>2.5000000372528999E-2</v>
      </c>
      <c r="O112">
        <v>6</v>
      </c>
      <c r="P112">
        <v>0</v>
      </c>
      <c r="W112">
        <v>0.88836657702326804</v>
      </c>
      <c r="X112">
        <v>5</v>
      </c>
      <c r="Y112">
        <v>5</v>
      </c>
      <c r="Z112" t="s">
        <v>458</v>
      </c>
      <c r="AA112" t="s">
        <v>464</v>
      </c>
      <c r="AB112">
        <v>0.76699733999999997</v>
      </c>
      <c r="AC112">
        <v>0.36970692999999999</v>
      </c>
      <c r="AD112">
        <v>0.56835210000000003</v>
      </c>
      <c r="AE112">
        <v>0.21407603</v>
      </c>
      <c r="AF112">
        <v>2.5999594999999999E-3</v>
      </c>
      <c r="AG112">
        <v>0.10833799</v>
      </c>
      <c r="AJ112" t="s">
        <v>48</v>
      </c>
    </row>
    <row r="113" spans="1:36" x14ac:dyDescent="0.2">
      <c r="A113">
        <v>111</v>
      </c>
      <c r="B113" t="s">
        <v>465</v>
      </c>
      <c r="C113" t="s">
        <v>207</v>
      </c>
      <c r="E113" t="s">
        <v>35</v>
      </c>
      <c r="F113" t="s">
        <v>466</v>
      </c>
      <c r="G113" t="s">
        <v>209</v>
      </c>
      <c r="I113" t="b">
        <f t="shared" si="1"/>
        <v>0</v>
      </c>
      <c r="J113">
        <v>0.27397257089614901</v>
      </c>
      <c r="K113">
        <v>5.5635850876569803E-2</v>
      </c>
      <c r="L113">
        <v>0.27272728085517878</v>
      </c>
      <c r="M113">
        <v>0.37435194849968001</v>
      </c>
      <c r="N113">
        <v>0.241867646574974</v>
      </c>
      <c r="O113">
        <v>60</v>
      </c>
      <c r="P113">
        <v>4.8959546089172399</v>
      </c>
      <c r="Q113">
        <v>0.39831694960594199</v>
      </c>
      <c r="R113">
        <v>0.45174866914749101</v>
      </c>
      <c r="S113">
        <v>0.638230860233307</v>
      </c>
      <c r="T113">
        <v>0.31963059306144698</v>
      </c>
      <c r="U113" t="s">
        <v>467</v>
      </c>
      <c r="V113" t="s">
        <v>211</v>
      </c>
      <c r="W113">
        <v>1.0399795197805699</v>
      </c>
      <c r="X113">
        <v>5</v>
      </c>
      <c r="Y113">
        <v>5</v>
      </c>
      <c r="Z113" t="s">
        <v>466</v>
      </c>
      <c r="AA113" t="s">
        <v>213</v>
      </c>
      <c r="AB113">
        <v>0.76994180000000001</v>
      </c>
      <c r="AC113">
        <v>0.80757659999999998</v>
      </c>
      <c r="AD113">
        <v>0.78875923000000003</v>
      </c>
      <c r="AE113">
        <v>0.57118124000000003</v>
      </c>
      <c r="AF113">
        <v>0.68876769999999998</v>
      </c>
      <c r="AG113">
        <v>0.62997449999999999</v>
      </c>
      <c r="AJ113" t="s">
        <v>48</v>
      </c>
    </row>
    <row r="114" spans="1:36" x14ac:dyDescent="0.2">
      <c r="A114">
        <v>112</v>
      </c>
      <c r="B114" t="s">
        <v>465</v>
      </c>
      <c r="C114" t="s">
        <v>468</v>
      </c>
      <c r="E114" t="s">
        <v>42</v>
      </c>
      <c r="F114" t="s">
        <v>469</v>
      </c>
      <c r="G114" t="s">
        <v>433</v>
      </c>
      <c r="I114" t="b">
        <f t="shared" si="1"/>
        <v>0</v>
      </c>
      <c r="J114">
        <v>0</v>
      </c>
      <c r="K114">
        <v>1.6633065417408902E-2</v>
      </c>
      <c r="L114">
        <v>4.5977011322975159E-2</v>
      </c>
      <c r="M114">
        <v>4.4115696102380801E-2</v>
      </c>
      <c r="N114">
        <v>6.6637881100177807E-2</v>
      </c>
      <c r="O114">
        <v>0</v>
      </c>
      <c r="P114">
        <v>1.44707667827606</v>
      </c>
      <c r="Q114">
        <v>0.23771996796131101</v>
      </c>
      <c r="R114">
        <v>0.35860979557037398</v>
      </c>
      <c r="S114">
        <v>0.361769169569016</v>
      </c>
      <c r="T114">
        <v>1</v>
      </c>
      <c r="U114" t="s">
        <v>470</v>
      </c>
      <c r="V114" t="s">
        <v>39</v>
      </c>
      <c r="W114">
        <v>1.2129405098032999</v>
      </c>
      <c r="X114">
        <v>5</v>
      </c>
      <c r="Y114">
        <v>7</v>
      </c>
      <c r="Z114" t="s">
        <v>466</v>
      </c>
      <c r="AA114" t="s">
        <v>433</v>
      </c>
      <c r="AB114">
        <v>0.76994180000000001</v>
      </c>
      <c r="AC114">
        <v>0.67515729999999996</v>
      </c>
      <c r="AD114">
        <v>0.72254956000000004</v>
      </c>
      <c r="AE114">
        <v>0.57118124000000003</v>
      </c>
      <c r="AF114">
        <v>0.16160055000000001</v>
      </c>
      <c r="AG114">
        <v>0.36639087999999997</v>
      </c>
      <c r="AH114" t="s">
        <v>72</v>
      </c>
      <c r="AI114" t="s">
        <v>76</v>
      </c>
      <c r="AJ114" t="s">
        <v>61</v>
      </c>
    </row>
    <row r="115" spans="1:36" x14ac:dyDescent="0.2">
      <c r="A115">
        <v>113</v>
      </c>
      <c r="B115" t="s">
        <v>465</v>
      </c>
      <c r="C115" t="s">
        <v>471</v>
      </c>
      <c r="E115" t="s">
        <v>46</v>
      </c>
      <c r="I115" t="b">
        <f t="shared" si="1"/>
        <v>0</v>
      </c>
      <c r="J115">
        <v>7.3059365153312697E-2</v>
      </c>
      <c r="K115">
        <v>0</v>
      </c>
      <c r="M115">
        <v>0.217957317829132</v>
      </c>
      <c r="N115">
        <v>1.81804541498423E-2</v>
      </c>
      <c r="O115">
        <v>16</v>
      </c>
      <c r="P115">
        <v>0</v>
      </c>
      <c r="W115">
        <v>1.3176027955431699</v>
      </c>
      <c r="X115">
        <v>5</v>
      </c>
      <c r="Y115">
        <v>5</v>
      </c>
      <c r="Z115" t="s">
        <v>466</v>
      </c>
      <c r="AA115" t="s">
        <v>472</v>
      </c>
      <c r="AB115">
        <v>0.76994180000000001</v>
      </c>
      <c r="AC115">
        <v>0.72487866999999995</v>
      </c>
      <c r="AD115">
        <v>0.74741024</v>
      </c>
      <c r="AE115">
        <v>0.57118124000000003</v>
      </c>
      <c r="AF115">
        <v>0.10333663999999999</v>
      </c>
      <c r="AG115">
        <v>0.33725893000000001</v>
      </c>
      <c r="AJ115" t="s">
        <v>40</v>
      </c>
    </row>
    <row r="116" spans="1:36" x14ac:dyDescent="0.2">
      <c r="A116">
        <v>114</v>
      </c>
      <c r="B116" t="s">
        <v>473</v>
      </c>
      <c r="C116" t="s">
        <v>474</v>
      </c>
      <c r="E116" t="s">
        <v>35</v>
      </c>
      <c r="F116" t="s">
        <v>475</v>
      </c>
      <c r="G116" t="s">
        <v>476</v>
      </c>
      <c r="I116" t="b">
        <f t="shared" si="1"/>
        <v>0</v>
      </c>
      <c r="J116">
        <v>4.4843055307865101E-2</v>
      </c>
      <c r="K116">
        <v>4.9611203372478499E-2</v>
      </c>
      <c r="L116">
        <v>7.5000002980232197E-2</v>
      </c>
      <c r="M116">
        <v>0.43434712290763899</v>
      </c>
      <c r="N116">
        <v>0.34813836216926602</v>
      </c>
      <c r="O116">
        <v>10</v>
      </c>
      <c r="P116">
        <v>3.968896150588991</v>
      </c>
      <c r="Q116">
        <v>0.27913075685501099</v>
      </c>
      <c r="R116">
        <v>0.47948473691940302</v>
      </c>
      <c r="S116">
        <v>0.66148269176483199</v>
      </c>
      <c r="T116">
        <v>1</v>
      </c>
      <c r="U116" t="s">
        <v>477</v>
      </c>
      <c r="V116" t="s">
        <v>39</v>
      </c>
      <c r="W116">
        <v>0.48969146042850198</v>
      </c>
      <c r="X116">
        <v>5</v>
      </c>
      <c r="Y116">
        <v>6</v>
      </c>
      <c r="Z116" t="s">
        <v>475</v>
      </c>
      <c r="AA116" t="s">
        <v>476</v>
      </c>
      <c r="AB116">
        <v>0.76593730000000004</v>
      </c>
      <c r="AC116">
        <v>0.79217243000000004</v>
      </c>
      <c r="AD116">
        <v>0.77905489999999999</v>
      </c>
      <c r="AE116">
        <v>0.31622942999999998</v>
      </c>
      <c r="AF116">
        <v>0.74965965999999995</v>
      </c>
      <c r="AG116">
        <v>0.53294456000000001</v>
      </c>
      <c r="AJ116" t="s">
        <v>48</v>
      </c>
    </row>
    <row r="117" spans="1:36" x14ac:dyDescent="0.2">
      <c r="A117">
        <v>115</v>
      </c>
      <c r="B117" t="s">
        <v>473</v>
      </c>
      <c r="C117" t="s">
        <v>478</v>
      </c>
      <c r="E117" t="s">
        <v>42</v>
      </c>
      <c r="F117" t="s">
        <v>479</v>
      </c>
      <c r="G117" t="s">
        <v>480</v>
      </c>
      <c r="I117" t="b">
        <f t="shared" si="1"/>
        <v>0</v>
      </c>
      <c r="J117">
        <v>0</v>
      </c>
      <c r="K117">
        <v>1.1573242023587201E-2</v>
      </c>
      <c r="L117">
        <v>6.8376071751117706E-2</v>
      </c>
      <c r="M117">
        <v>5.9397302567958797E-2</v>
      </c>
      <c r="N117">
        <v>9.4649434089660603E-2</v>
      </c>
      <c r="O117">
        <v>0</v>
      </c>
      <c r="P117">
        <v>1.3540692329406701</v>
      </c>
      <c r="Q117">
        <v>0.46025159955024703</v>
      </c>
      <c r="R117">
        <v>0.25901961326599099</v>
      </c>
      <c r="S117">
        <v>0.33851730823516801</v>
      </c>
      <c r="T117">
        <v>0.5</v>
      </c>
      <c r="U117" t="s">
        <v>481</v>
      </c>
      <c r="V117" t="s">
        <v>482</v>
      </c>
      <c r="W117">
        <v>1.0528821067479199</v>
      </c>
      <c r="X117">
        <v>5</v>
      </c>
      <c r="Y117">
        <v>3</v>
      </c>
      <c r="Z117" t="s">
        <v>475</v>
      </c>
      <c r="AA117" t="s">
        <v>483</v>
      </c>
      <c r="AB117">
        <v>0.76593730000000004</v>
      </c>
      <c r="AC117">
        <v>0.75962746000000003</v>
      </c>
      <c r="AD117">
        <v>0.76278239999999997</v>
      </c>
      <c r="AE117">
        <v>0.31622942999999998</v>
      </c>
      <c r="AF117">
        <v>0.77937259999999997</v>
      </c>
      <c r="AG117">
        <v>0.54780099999999998</v>
      </c>
      <c r="AJ117" t="s">
        <v>61</v>
      </c>
    </row>
    <row r="118" spans="1:36" x14ac:dyDescent="0.2">
      <c r="A118">
        <v>116</v>
      </c>
      <c r="B118" t="s">
        <v>473</v>
      </c>
      <c r="C118" t="s">
        <v>484</v>
      </c>
      <c r="E118" t="s">
        <v>46</v>
      </c>
      <c r="I118" t="b">
        <f t="shared" si="1"/>
        <v>0</v>
      </c>
      <c r="J118">
        <v>1.3452910818159599E-2</v>
      </c>
      <c r="K118">
        <v>0</v>
      </c>
      <c r="M118">
        <v>0.19119212031364399</v>
      </c>
      <c r="N118">
        <v>1.0716020129620999E-2</v>
      </c>
      <c r="O118">
        <v>3</v>
      </c>
      <c r="P118">
        <v>0</v>
      </c>
      <c r="W118">
        <v>0.58738095390869705</v>
      </c>
      <c r="X118">
        <v>5</v>
      </c>
      <c r="Y118">
        <v>4</v>
      </c>
      <c r="Z118" t="s">
        <v>475</v>
      </c>
      <c r="AA118" t="s">
        <v>485</v>
      </c>
      <c r="AB118">
        <v>0.76593730000000004</v>
      </c>
      <c r="AC118">
        <v>0.79913573999999998</v>
      </c>
      <c r="AD118">
        <v>0.78253649999999997</v>
      </c>
      <c r="AE118">
        <v>0.31622942999999998</v>
      </c>
      <c r="AF118">
        <v>0.33799717000000001</v>
      </c>
      <c r="AG118">
        <v>0.3271133</v>
      </c>
      <c r="AH118" t="s">
        <v>72</v>
      </c>
      <c r="AI118" t="s">
        <v>76</v>
      </c>
      <c r="AJ118" t="s">
        <v>40</v>
      </c>
    </row>
    <row r="119" spans="1:36" x14ac:dyDescent="0.2">
      <c r="A119">
        <v>117</v>
      </c>
      <c r="B119" t="s">
        <v>486</v>
      </c>
      <c r="C119" t="s">
        <v>487</v>
      </c>
      <c r="E119" t="s">
        <v>35</v>
      </c>
      <c r="F119" t="s">
        <v>488</v>
      </c>
      <c r="G119" t="s">
        <v>489</v>
      </c>
      <c r="I119" t="b">
        <f t="shared" si="1"/>
        <v>0</v>
      </c>
      <c r="J119">
        <v>4.1666671633720398E-2</v>
      </c>
      <c r="K119">
        <v>8.6171710863708999E-3</v>
      </c>
      <c r="L119">
        <v>3.5971224308013902E-2</v>
      </c>
      <c r="M119">
        <v>0.23449395596980999</v>
      </c>
      <c r="N119">
        <v>8.2383766770362896E-2</v>
      </c>
      <c r="O119">
        <v>9</v>
      </c>
      <c r="P119">
        <v>1.19778668880463</v>
      </c>
      <c r="Q119">
        <v>0.218197926878929</v>
      </c>
      <c r="R119">
        <v>0.24104157090187101</v>
      </c>
      <c r="S119">
        <v>0.73001116514205899</v>
      </c>
      <c r="T119">
        <v>0.32815572619438199</v>
      </c>
      <c r="U119" t="s">
        <v>490</v>
      </c>
      <c r="V119" t="s">
        <v>491</v>
      </c>
      <c r="W119">
        <v>1.0766892300586901</v>
      </c>
      <c r="X119">
        <v>4</v>
      </c>
      <c r="Y119">
        <v>4</v>
      </c>
      <c r="Z119" t="s">
        <v>488</v>
      </c>
      <c r="AA119" t="s">
        <v>489</v>
      </c>
      <c r="AB119">
        <v>0.62073909999999999</v>
      </c>
      <c r="AC119">
        <v>0.67047953999999998</v>
      </c>
      <c r="AD119">
        <v>0.64560930000000005</v>
      </c>
      <c r="AE119">
        <v>0.34485285999999998</v>
      </c>
      <c r="AF119">
        <v>0.15819185999999999</v>
      </c>
      <c r="AG119">
        <v>0.25152236</v>
      </c>
      <c r="AJ119" t="s">
        <v>40</v>
      </c>
    </row>
    <row r="120" spans="1:36" x14ac:dyDescent="0.2">
      <c r="A120">
        <v>118</v>
      </c>
      <c r="B120" t="s">
        <v>486</v>
      </c>
      <c r="C120" t="s">
        <v>492</v>
      </c>
      <c r="E120" t="s">
        <v>42</v>
      </c>
      <c r="F120" t="s">
        <v>488</v>
      </c>
      <c r="G120" t="s">
        <v>493</v>
      </c>
      <c r="I120" t="b">
        <f t="shared" si="1"/>
        <v>0</v>
      </c>
      <c r="J120">
        <v>0</v>
      </c>
      <c r="K120">
        <v>1.5755636617541299E-2</v>
      </c>
      <c r="L120">
        <v>2.15827338397503E-2</v>
      </c>
      <c r="M120">
        <v>5.00147119164467E-2</v>
      </c>
      <c r="N120">
        <v>6.5628007054328905E-2</v>
      </c>
      <c r="O120">
        <v>0</v>
      </c>
      <c r="P120">
        <v>2.1900334358215301</v>
      </c>
      <c r="Q120">
        <v>0.218197926878929</v>
      </c>
      <c r="R120">
        <v>0.47772103548049899</v>
      </c>
      <c r="S120">
        <v>0.73001116514205899</v>
      </c>
      <c r="T120">
        <v>1</v>
      </c>
      <c r="U120" t="s">
        <v>490</v>
      </c>
      <c r="V120" t="s">
        <v>39</v>
      </c>
      <c r="W120">
        <v>1.4758908514198501</v>
      </c>
      <c r="X120">
        <v>4</v>
      </c>
      <c r="Y120">
        <v>7</v>
      </c>
      <c r="Z120" t="s">
        <v>488</v>
      </c>
      <c r="AA120" t="s">
        <v>493</v>
      </c>
      <c r="AB120">
        <v>0.62073909999999999</v>
      </c>
      <c r="AC120">
        <v>0.76239950000000001</v>
      </c>
      <c r="AD120">
        <v>0.69156930000000005</v>
      </c>
      <c r="AE120">
        <v>0.34485285999999998</v>
      </c>
      <c r="AF120">
        <v>0.37063518000000001</v>
      </c>
      <c r="AG120">
        <v>0.35774403999999999</v>
      </c>
      <c r="AH120" t="s">
        <v>72</v>
      </c>
      <c r="AI120" t="s">
        <v>162</v>
      </c>
      <c r="AJ120" t="s">
        <v>44</v>
      </c>
    </row>
    <row r="121" spans="1:36" x14ac:dyDescent="0.2">
      <c r="A121">
        <v>119</v>
      </c>
      <c r="B121" t="s">
        <v>486</v>
      </c>
      <c r="C121" t="s">
        <v>494</v>
      </c>
      <c r="E121" t="s">
        <v>46</v>
      </c>
      <c r="I121" t="b">
        <f t="shared" si="1"/>
        <v>0</v>
      </c>
      <c r="J121">
        <v>0.15740738809108701</v>
      </c>
      <c r="K121">
        <v>0</v>
      </c>
      <c r="M121">
        <v>0.22596342861652399</v>
      </c>
      <c r="N121">
        <v>2.0330158993601799E-2</v>
      </c>
      <c r="O121">
        <v>34</v>
      </c>
      <c r="P121">
        <v>0</v>
      </c>
      <c r="W121">
        <v>0.65154654592065198</v>
      </c>
      <c r="X121">
        <v>4</v>
      </c>
      <c r="Y121">
        <v>3</v>
      </c>
      <c r="Z121" t="s">
        <v>488</v>
      </c>
      <c r="AA121" t="s">
        <v>316</v>
      </c>
      <c r="AB121">
        <v>0.62073909999999999</v>
      </c>
      <c r="AC121">
        <v>0.67998800000000004</v>
      </c>
      <c r="AD121">
        <v>0.65036355999999995</v>
      </c>
      <c r="AE121">
        <v>0.34485285999999998</v>
      </c>
      <c r="AF121">
        <v>0.49674479999999999</v>
      </c>
      <c r="AG121">
        <v>0.42079884000000001</v>
      </c>
      <c r="AJ121" t="s">
        <v>48</v>
      </c>
    </row>
    <row r="122" spans="1:36" x14ac:dyDescent="0.2">
      <c r="A122">
        <v>120</v>
      </c>
      <c r="B122" t="s">
        <v>495</v>
      </c>
      <c r="C122" t="s">
        <v>496</v>
      </c>
      <c r="E122" t="s">
        <v>35</v>
      </c>
      <c r="F122" t="s">
        <v>497</v>
      </c>
      <c r="G122" t="s">
        <v>498</v>
      </c>
      <c r="I122" t="b">
        <f t="shared" si="1"/>
        <v>0</v>
      </c>
      <c r="J122">
        <v>1.49253690615296E-2</v>
      </c>
      <c r="K122">
        <v>1.0561827570199999E-2</v>
      </c>
      <c r="L122">
        <v>3.3707864582538598E-2</v>
      </c>
      <c r="M122">
        <v>0.26244822144508401</v>
      </c>
      <c r="N122">
        <v>0.30693960189819303</v>
      </c>
      <c r="O122">
        <v>3</v>
      </c>
      <c r="P122">
        <v>0.94000267982482899</v>
      </c>
      <c r="Q122">
        <v>0.24079568684101099</v>
      </c>
      <c r="R122">
        <v>0.56852078437805198</v>
      </c>
      <c r="S122">
        <v>0.31333422660827598</v>
      </c>
      <c r="T122">
        <v>1</v>
      </c>
      <c r="U122" t="s">
        <v>499</v>
      </c>
      <c r="V122" t="s">
        <v>39</v>
      </c>
      <c r="W122">
        <v>1.40689112834288</v>
      </c>
      <c r="X122">
        <v>5</v>
      </c>
      <c r="Y122">
        <v>4</v>
      </c>
      <c r="Z122" t="s">
        <v>500</v>
      </c>
      <c r="AA122" t="s">
        <v>498</v>
      </c>
      <c r="AB122">
        <v>0.73534739999999998</v>
      </c>
      <c r="AC122">
        <v>0.84596760000000004</v>
      </c>
      <c r="AD122">
        <v>0.79065750000000001</v>
      </c>
      <c r="AE122">
        <v>2.2902219000000001E-2</v>
      </c>
      <c r="AF122">
        <v>0.49032252999999998</v>
      </c>
      <c r="AG122">
        <v>0.25661235999999998</v>
      </c>
      <c r="AJ122" t="s">
        <v>61</v>
      </c>
    </row>
    <row r="123" spans="1:36" x14ac:dyDescent="0.2">
      <c r="A123">
        <v>121</v>
      </c>
      <c r="B123" t="s">
        <v>495</v>
      </c>
      <c r="C123" t="s">
        <v>501</v>
      </c>
      <c r="E123" t="s">
        <v>42</v>
      </c>
      <c r="F123" t="s">
        <v>497</v>
      </c>
      <c r="G123" t="s">
        <v>502</v>
      </c>
      <c r="I123" t="b">
        <f t="shared" si="1"/>
        <v>0</v>
      </c>
      <c r="J123">
        <v>0</v>
      </c>
      <c r="K123">
        <v>8.8015235960482996E-3</v>
      </c>
      <c r="L123">
        <v>5.6179776787757901E-2</v>
      </c>
      <c r="M123">
        <v>2.4798749014735201E-2</v>
      </c>
      <c r="N123">
        <v>2.20419708639383E-2</v>
      </c>
      <c r="O123">
        <v>0</v>
      </c>
      <c r="P123">
        <v>0.78333556652069103</v>
      </c>
      <c r="Q123">
        <v>0.24079568684101099</v>
      </c>
      <c r="R123">
        <v>0.350086539983749</v>
      </c>
      <c r="S123">
        <v>0.31333422660827598</v>
      </c>
      <c r="T123">
        <v>0.5</v>
      </c>
      <c r="U123" t="s">
        <v>499</v>
      </c>
      <c r="V123" t="s">
        <v>503</v>
      </c>
      <c r="W123">
        <v>1.26729669414049</v>
      </c>
      <c r="X123">
        <v>5</v>
      </c>
      <c r="Y123">
        <v>4</v>
      </c>
      <c r="Z123" t="s">
        <v>500</v>
      </c>
      <c r="AA123" t="s">
        <v>504</v>
      </c>
      <c r="AB123">
        <v>0.73534739999999998</v>
      </c>
      <c r="AC123">
        <v>0.80626624999999996</v>
      </c>
      <c r="AD123">
        <v>0.77080680000000001</v>
      </c>
      <c r="AE123">
        <v>2.2902219000000001E-2</v>
      </c>
      <c r="AF123">
        <v>0.30161110000000002</v>
      </c>
      <c r="AG123">
        <v>0.16225666</v>
      </c>
      <c r="AH123" t="s">
        <v>72</v>
      </c>
      <c r="AI123" t="s">
        <v>162</v>
      </c>
      <c r="AJ123" t="s">
        <v>40</v>
      </c>
    </row>
    <row r="124" spans="1:36" x14ac:dyDescent="0.2">
      <c r="A124">
        <v>122</v>
      </c>
      <c r="B124" t="s">
        <v>495</v>
      </c>
      <c r="C124" t="s">
        <v>505</v>
      </c>
      <c r="E124" t="s">
        <v>46</v>
      </c>
      <c r="I124" t="b">
        <f t="shared" si="1"/>
        <v>0</v>
      </c>
      <c r="J124">
        <v>4.9751248210668599E-2</v>
      </c>
      <c r="K124">
        <v>0</v>
      </c>
      <c r="M124">
        <v>0.26062285900116</v>
      </c>
      <c r="N124">
        <v>2.2673701867461201E-2</v>
      </c>
      <c r="O124">
        <v>10</v>
      </c>
      <c r="P124">
        <v>0</v>
      </c>
      <c r="W124">
        <v>1.0392320667625601</v>
      </c>
      <c r="X124">
        <v>5</v>
      </c>
      <c r="Y124">
        <v>6</v>
      </c>
      <c r="Z124" t="s">
        <v>500</v>
      </c>
      <c r="AA124" t="s">
        <v>506</v>
      </c>
      <c r="AB124">
        <v>0.73534739999999998</v>
      </c>
      <c r="AC124">
        <v>0.81868200000000002</v>
      </c>
      <c r="AD124">
        <v>0.77701472999999999</v>
      </c>
      <c r="AE124">
        <v>2.2902219000000001E-2</v>
      </c>
      <c r="AF124">
        <v>0.47633474999999997</v>
      </c>
      <c r="AG124">
        <v>0.24961849</v>
      </c>
      <c r="AJ124" t="s">
        <v>44</v>
      </c>
    </row>
    <row r="125" spans="1:36" x14ac:dyDescent="0.2">
      <c r="A125">
        <v>123</v>
      </c>
      <c r="B125" t="s">
        <v>507</v>
      </c>
      <c r="C125" t="s">
        <v>357</v>
      </c>
      <c r="E125" t="s">
        <v>35</v>
      </c>
      <c r="F125" t="s">
        <v>508</v>
      </c>
      <c r="G125" t="s">
        <v>358</v>
      </c>
      <c r="I125" t="b">
        <f t="shared" si="1"/>
        <v>0</v>
      </c>
      <c r="J125">
        <v>5.4726362228393603E-2</v>
      </c>
      <c r="K125">
        <v>9.3907132744789096E-2</v>
      </c>
      <c r="L125">
        <v>0.19607843458652499</v>
      </c>
      <c r="M125">
        <v>0.20377677679061901</v>
      </c>
      <c r="N125">
        <v>0.17279663681983901</v>
      </c>
      <c r="O125">
        <v>11</v>
      </c>
      <c r="P125">
        <v>9.5785274505615199</v>
      </c>
      <c r="Q125">
        <v>0.43718671798706099</v>
      </c>
      <c r="R125">
        <v>0.56460452079773005</v>
      </c>
      <c r="S125">
        <v>1</v>
      </c>
      <c r="T125">
        <v>0.47892636060714699</v>
      </c>
      <c r="U125" t="s">
        <v>39</v>
      </c>
      <c r="V125" t="s">
        <v>359</v>
      </c>
      <c r="W125">
        <v>1.41741885295091</v>
      </c>
      <c r="X125">
        <v>6</v>
      </c>
      <c r="Y125">
        <v>4</v>
      </c>
      <c r="Z125" t="s">
        <v>508</v>
      </c>
      <c r="AA125" t="s">
        <v>358</v>
      </c>
      <c r="AB125">
        <v>0.78326289999999998</v>
      </c>
      <c r="AC125">
        <v>0.79579840000000002</v>
      </c>
      <c r="AD125">
        <v>0.78953063000000001</v>
      </c>
      <c r="AE125">
        <v>0.52317230000000003</v>
      </c>
      <c r="AF125">
        <v>0.27219588</v>
      </c>
      <c r="AG125">
        <v>0.39768409999999998</v>
      </c>
      <c r="AJ125" t="s">
        <v>44</v>
      </c>
    </row>
    <row r="126" spans="1:36" x14ac:dyDescent="0.2">
      <c r="A126">
        <v>124</v>
      </c>
      <c r="B126" t="s">
        <v>507</v>
      </c>
      <c r="C126" t="s">
        <v>509</v>
      </c>
      <c r="E126" t="s">
        <v>42</v>
      </c>
      <c r="F126" t="s">
        <v>508</v>
      </c>
      <c r="G126" t="s">
        <v>510</v>
      </c>
      <c r="I126" t="b">
        <f t="shared" si="1"/>
        <v>0</v>
      </c>
      <c r="J126">
        <v>0</v>
      </c>
      <c r="K126">
        <v>1.3219223357737101E-2</v>
      </c>
      <c r="L126">
        <v>2.9411764815449701E-2</v>
      </c>
      <c r="M126">
        <v>5.6364100426435498E-2</v>
      </c>
      <c r="N126">
        <v>0.12854373455047599</v>
      </c>
      <c r="O126">
        <v>0</v>
      </c>
      <c r="P126">
        <v>1.34836077690125</v>
      </c>
      <c r="Q126">
        <v>0.43718671798706099</v>
      </c>
      <c r="R126">
        <v>0.26842829585075401</v>
      </c>
      <c r="S126">
        <v>1</v>
      </c>
      <c r="T126">
        <v>0.44945359230041498</v>
      </c>
      <c r="U126" t="s">
        <v>39</v>
      </c>
      <c r="V126" t="s">
        <v>511</v>
      </c>
      <c r="W126">
        <v>1.45406601656426</v>
      </c>
      <c r="X126">
        <v>6</v>
      </c>
      <c r="Y126">
        <v>5</v>
      </c>
      <c r="Z126" t="s">
        <v>508</v>
      </c>
      <c r="AA126" t="s">
        <v>512</v>
      </c>
      <c r="AB126">
        <v>0.78326289999999998</v>
      </c>
      <c r="AC126">
        <v>0.70421020000000001</v>
      </c>
      <c r="AD126">
        <v>0.74373657000000004</v>
      </c>
      <c r="AE126">
        <v>0.52317230000000003</v>
      </c>
      <c r="AF126">
        <v>0.39562969999999997</v>
      </c>
      <c r="AG126">
        <v>0.459401</v>
      </c>
      <c r="AI126" t="s">
        <v>162</v>
      </c>
      <c r="AJ126" t="s">
        <v>48</v>
      </c>
    </row>
    <row r="127" spans="1:36" x14ac:dyDescent="0.2">
      <c r="A127">
        <v>125</v>
      </c>
      <c r="B127" t="s">
        <v>507</v>
      </c>
      <c r="C127" t="s">
        <v>513</v>
      </c>
      <c r="E127" t="s">
        <v>46</v>
      </c>
      <c r="I127" t="b">
        <f t="shared" si="1"/>
        <v>0</v>
      </c>
      <c r="J127">
        <v>2.98507511615753E-2</v>
      </c>
      <c r="K127">
        <v>0</v>
      </c>
      <c r="M127">
        <v>9.3628369271755205E-2</v>
      </c>
      <c r="N127">
        <v>2.1104723215103201E-2</v>
      </c>
      <c r="O127">
        <v>6</v>
      </c>
      <c r="P127">
        <v>0</v>
      </c>
      <c r="W127">
        <v>0.69091443307475697</v>
      </c>
      <c r="X127">
        <v>6</v>
      </c>
      <c r="Y127">
        <v>7</v>
      </c>
      <c r="Z127" t="s">
        <v>508</v>
      </c>
      <c r="AA127" t="s">
        <v>514</v>
      </c>
      <c r="AB127">
        <v>0.78326289999999998</v>
      </c>
      <c r="AC127">
        <v>0.66128830000000005</v>
      </c>
      <c r="AD127">
        <v>0.72227560000000002</v>
      </c>
      <c r="AE127">
        <v>0.52317230000000003</v>
      </c>
      <c r="AF127">
        <v>5.2034944E-2</v>
      </c>
      <c r="AG127">
        <v>0.28760362</v>
      </c>
      <c r="AJ127" t="s">
        <v>61</v>
      </c>
    </row>
    <row r="128" spans="1:36" x14ac:dyDescent="0.2">
      <c r="A128">
        <v>126</v>
      </c>
      <c r="B128" t="s">
        <v>515</v>
      </c>
      <c r="C128" t="s">
        <v>296</v>
      </c>
      <c r="E128" t="s">
        <v>35</v>
      </c>
      <c r="F128" t="s">
        <v>516</v>
      </c>
      <c r="G128" t="s">
        <v>517</v>
      </c>
      <c r="I128" t="b">
        <f t="shared" si="1"/>
        <v>1</v>
      </c>
      <c r="J128">
        <v>2.4096382781863199E-2</v>
      </c>
      <c r="K128">
        <v>1.2379607185721399E-2</v>
      </c>
      <c r="L128">
        <v>5.7553958147764213E-2</v>
      </c>
      <c r="M128">
        <v>0.25255683064460799</v>
      </c>
      <c r="N128">
        <v>7.8316338360309601E-2</v>
      </c>
      <c r="O128">
        <v>4</v>
      </c>
      <c r="P128">
        <v>1.7207653522491499</v>
      </c>
      <c r="Q128">
        <v>0.39808270335197499</v>
      </c>
      <c r="R128">
        <v>0.46643868088722201</v>
      </c>
      <c r="S128">
        <v>0.43019133806228599</v>
      </c>
      <c r="T128">
        <v>0.5</v>
      </c>
      <c r="U128" t="s">
        <v>518</v>
      </c>
      <c r="V128" t="s">
        <v>519</v>
      </c>
      <c r="W128">
        <v>1.49855023626029</v>
      </c>
      <c r="X128">
        <v>4</v>
      </c>
      <c r="Y128">
        <v>3</v>
      </c>
      <c r="Z128" t="s">
        <v>520</v>
      </c>
      <c r="AA128" t="s">
        <v>297</v>
      </c>
      <c r="AB128">
        <v>0.79574924999999996</v>
      </c>
      <c r="AC128">
        <v>0.74668020000000002</v>
      </c>
      <c r="AD128">
        <v>0.77121470000000003</v>
      </c>
      <c r="AE128">
        <v>0.32706863000000003</v>
      </c>
      <c r="AF128">
        <v>0.49461981999999999</v>
      </c>
      <c r="AG128">
        <v>0.41084419999999999</v>
      </c>
      <c r="AH128" t="s">
        <v>72</v>
      </c>
      <c r="AI128" t="s">
        <v>76</v>
      </c>
      <c r="AJ128" t="s">
        <v>40</v>
      </c>
    </row>
    <row r="129" spans="1:36" x14ac:dyDescent="0.2">
      <c r="A129">
        <v>127</v>
      </c>
      <c r="B129" t="s">
        <v>515</v>
      </c>
      <c r="C129" t="s">
        <v>150</v>
      </c>
      <c r="E129" t="s">
        <v>42</v>
      </c>
      <c r="F129" t="s">
        <v>520</v>
      </c>
      <c r="G129" t="s">
        <v>151</v>
      </c>
      <c r="H129" t="s">
        <v>72</v>
      </c>
      <c r="I129" t="b">
        <f t="shared" si="1"/>
        <v>1</v>
      </c>
      <c r="J129">
        <v>0</v>
      </c>
      <c r="K129">
        <v>2.71699782460928E-2</v>
      </c>
      <c r="L129">
        <v>6.3157893717288971E-2</v>
      </c>
      <c r="M129">
        <v>6.36173486709595E-2</v>
      </c>
      <c r="N129">
        <v>0.107461795210838</v>
      </c>
      <c r="O129">
        <v>0</v>
      </c>
      <c r="P129">
        <v>2.58114814758301</v>
      </c>
      <c r="Q129">
        <v>0.40273305773735002</v>
      </c>
      <c r="R129">
        <v>0.60429781675338801</v>
      </c>
      <c r="S129">
        <v>0.43019133806228599</v>
      </c>
      <c r="T129">
        <v>1</v>
      </c>
      <c r="U129" t="s">
        <v>521</v>
      </c>
      <c r="V129" t="s">
        <v>39</v>
      </c>
      <c r="W129">
        <v>1.0498064086996099</v>
      </c>
      <c r="X129">
        <v>4</v>
      </c>
      <c r="Y129">
        <v>5</v>
      </c>
      <c r="Z129" t="s">
        <v>520</v>
      </c>
      <c r="AA129" t="s">
        <v>151</v>
      </c>
      <c r="AB129">
        <v>0.79574924999999996</v>
      </c>
      <c r="AC129">
        <v>0.83467250000000004</v>
      </c>
      <c r="AD129">
        <v>0.81521089999999996</v>
      </c>
      <c r="AE129">
        <v>0.32706863000000003</v>
      </c>
      <c r="AF129">
        <v>0.2812132</v>
      </c>
      <c r="AG129">
        <v>0.30414092999999998</v>
      </c>
      <c r="AJ129" t="s">
        <v>44</v>
      </c>
    </row>
    <row r="130" spans="1:36" x14ac:dyDescent="0.2">
      <c r="A130">
        <v>128</v>
      </c>
      <c r="B130" t="s">
        <v>515</v>
      </c>
      <c r="C130" t="s">
        <v>522</v>
      </c>
      <c r="E130" t="s">
        <v>46</v>
      </c>
      <c r="I130" t="b">
        <f t="shared" ref="I130:I193" si="2">COUNTIFS($B$2:$B$257,$B130,$D$2:$D$257,"&lt;&gt;")+COUNTIFS($B$2:$B$257,$B130,$H$2:$H$257,"&lt;&gt;")&gt;0</f>
        <v>1</v>
      </c>
      <c r="J130">
        <v>1.8072286620736101E-2</v>
      </c>
      <c r="K130">
        <v>0</v>
      </c>
      <c r="M130">
        <v>5.3045097738504403E-2</v>
      </c>
      <c r="N130">
        <v>3.4286249428987503E-2</v>
      </c>
      <c r="O130">
        <v>3</v>
      </c>
      <c r="P130">
        <v>0</v>
      </c>
      <c r="W130">
        <v>1.22927094266328</v>
      </c>
      <c r="X130">
        <v>4</v>
      </c>
      <c r="Y130">
        <v>4</v>
      </c>
      <c r="Z130" t="s">
        <v>520</v>
      </c>
      <c r="AA130" t="s">
        <v>523</v>
      </c>
      <c r="AB130">
        <v>0.79574924999999996</v>
      </c>
      <c r="AC130">
        <v>0.75595909999999999</v>
      </c>
      <c r="AD130">
        <v>0.77585420000000005</v>
      </c>
      <c r="AE130">
        <v>0.32706863000000003</v>
      </c>
      <c r="AF130">
        <v>0.19173166</v>
      </c>
      <c r="AG130">
        <v>0.25940013000000001</v>
      </c>
      <c r="AH130" t="s">
        <v>72</v>
      </c>
      <c r="AI130" t="s">
        <v>76</v>
      </c>
      <c r="AJ130" t="s">
        <v>48</v>
      </c>
    </row>
    <row r="131" spans="1:36" x14ac:dyDescent="0.2">
      <c r="A131">
        <v>129</v>
      </c>
      <c r="B131" t="s">
        <v>524</v>
      </c>
      <c r="C131" t="s">
        <v>525</v>
      </c>
      <c r="E131" t="s">
        <v>35</v>
      </c>
      <c r="F131" t="s">
        <v>526</v>
      </c>
      <c r="G131" t="s">
        <v>527</v>
      </c>
      <c r="I131" t="b">
        <f t="shared" si="2"/>
        <v>0</v>
      </c>
      <c r="J131">
        <v>2.9556646943092301E-2</v>
      </c>
      <c r="K131">
        <v>8.4971133619546006E-3</v>
      </c>
      <c r="L131">
        <v>7.4468083679676098E-2</v>
      </c>
      <c r="M131">
        <v>0.28807416558265703</v>
      </c>
      <c r="N131">
        <v>6.1639029532671002E-2</v>
      </c>
      <c r="O131">
        <v>6</v>
      </c>
      <c r="P131">
        <v>0.79872870445251498</v>
      </c>
      <c r="Q131">
        <v>0.29056313633918801</v>
      </c>
      <c r="R131">
        <v>0.53156566619873102</v>
      </c>
      <c r="S131">
        <v>0.47632339596748402</v>
      </c>
      <c r="T131">
        <v>0.23955173790454901</v>
      </c>
      <c r="U131" t="s">
        <v>528</v>
      </c>
      <c r="V131" t="s">
        <v>529</v>
      </c>
      <c r="W131">
        <v>1.0739378500657499</v>
      </c>
      <c r="X131">
        <v>4</v>
      </c>
      <c r="Y131">
        <v>5</v>
      </c>
      <c r="Z131" t="s">
        <v>530</v>
      </c>
      <c r="AA131" t="s">
        <v>531</v>
      </c>
      <c r="AB131">
        <v>0.71111760000000002</v>
      </c>
      <c r="AC131">
        <v>0.80555889999999997</v>
      </c>
      <c r="AD131">
        <v>0.75833830000000002</v>
      </c>
      <c r="AE131">
        <v>3.8362159999999999E-2</v>
      </c>
      <c r="AF131">
        <v>0.2208088</v>
      </c>
      <c r="AG131">
        <v>0.12958547000000001</v>
      </c>
      <c r="AJ131" t="s">
        <v>61</v>
      </c>
    </row>
    <row r="132" spans="1:36" x14ac:dyDescent="0.2">
      <c r="A132">
        <v>130</v>
      </c>
      <c r="B132" t="s">
        <v>524</v>
      </c>
      <c r="C132" t="s">
        <v>532</v>
      </c>
      <c r="E132" t="s">
        <v>42</v>
      </c>
      <c r="F132" t="s">
        <v>530</v>
      </c>
      <c r="G132" t="s">
        <v>533</v>
      </c>
      <c r="I132" t="b">
        <f t="shared" si="2"/>
        <v>0</v>
      </c>
      <c r="J132">
        <v>0</v>
      </c>
      <c r="K132">
        <v>0.14962190389633201</v>
      </c>
      <c r="L132">
        <v>0.28571429848670998</v>
      </c>
      <c r="M132">
        <v>4.6155177056789398E-2</v>
      </c>
      <c r="N132">
        <v>0.16925227642059301</v>
      </c>
      <c r="O132">
        <v>0</v>
      </c>
      <c r="P132">
        <v>15.710298538208001</v>
      </c>
      <c r="Q132">
        <v>0.28856518864631697</v>
      </c>
      <c r="R132">
        <v>0.27169835567474399</v>
      </c>
      <c r="S132">
        <v>0.52367663383483898</v>
      </c>
      <c r="T132">
        <v>1</v>
      </c>
      <c r="U132" t="s">
        <v>534</v>
      </c>
      <c r="V132" t="s">
        <v>39</v>
      </c>
      <c r="W132">
        <v>0.42578494588043703</v>
      </c>
      <c r="X132">
        <v>4</v>
      </c>
      <c r="Y132">
        <v>4</v>
      </c>
      <c r="Z132" t="s">
        <v>530</v>
      </c>
      <c r="AA132" t="s">
        <v>533</v>
      </c>
      <c r="AB132">
        <v>0.71111760000000002</v>
      </c>
      <c r="AC132">
        <v>0.69729719999999995</v>
      </c>
      <c r="AD132">
        <v>0.70420740000000004</v>
      </c>
      <c r="AE132">
        <v>3.8362159999999999E-2</v>
      </c>
      <c r="AF132">
        <v>2.0978816E-3</v>
      </c>
      <c r="AG132">
        <v>2.0230021000000001E-2</v>
      </c>
      <c r="AJ132" t="s">
        <v>40</v>
      </c>
    </row>
    <row r="133" spans="1:36" x14ac:dyDescent="0.2">
      <c r="A133">
        <v>131</v>
      </c>
      <c r="B133" t="s">
        <v>524</v>
      </c>
      <c r="C133" t="s">
        <v>535</v>
      </c>
      <c r="E133" t="s">
        <v>46</v>
      </c>
      <c r="I133" t="b">
        <f t="shared" si="2"/>
        <v>0</v>
      </c>
      <c r="J133">
        <v>6.4039416611194597E-2</v>
      </c>
      <c r="K133">
        <v>0</v>
      </c>
      <c r="M133">
        <v>0.17465639114379899</v>
      </c>
      <c r="N133">
        <v>2.1196391433477402E-2</v>
      </c>
      <c r="O133">
        <v>13</v>
      </c>
      <c r="P133">
        <v>0</v>
      </c>
      <c r="W133">
        <v>0.95167138686642205</v>
      </c>
      <c r="X133">
        <v>4</v>
      </c>
      <c r="Y133">
        <v>5</v>
      </c>
      <c r="Z133" t="s">
        <v>530</v>
      </c>
      <c r="AA133" t="s">
        <v>536</v>
      </c>
      <c r="AB133">
        <v>0.71111760000000002</v>
      </c>
      <c r="AC133">
        <v>0.46832724999999997</v>
      </c>
      <c r="AD133">
        <v>0.58972245000000001</v>
      </c>
      <c r="AE133">
        <v>3.8362159999999999E-2</v>
      </c>
      <c r="AF133">
        <v>1.4070731E-2</v>
      </c>
      <c r="AG133">
        <v>2.6216445000000001E-2</v>
      </c>
      <c r="AJ133" t="s">
        <v>44</v>
      </c>
    </row>
    <row r="134" spans="1:36" x14ac:dyDescent="0.2">
      <c r="A134">
        <v>132</v>
      </c>
      <c r="B134" t="s">
        <v>537</v>
      </c>
      <c r="C134" t="s">
        <v>538</v>
      </c>
      <c r="E134" t="s">
        <v>35</v>
      </c>
      <c r="F134" t="s">
        <v>276</v>
      </c>
      <c r="G134" t="s">
        <v>539</v>
      </c>
      <c r="I134" t="b">
        <f t="shared" si="2"/>
        <v>1</v>
      </c>
      <c r="J134">
        <v>4.21686694025993E-2</v>
      </c>
      <c r="K134">
        <v>2.8128944337368001E-2</v>
      </c>
      <c r="L134">
        <v>0.116438359022141</v>
      </c>
      <c r="M134">
        <v>0.28122282028198198</v>
      </c>
      <c r="N134">
        <v>0.17412483692169201</v>
      </c>
      <c r="O134">
        <v>7</v>
      </c>
      <c r="P134">
        <v>3.6848917007446298</v>
      </c>
      <c r="Q134">
        <v>0.260041683912277</v>
      </c>
      <c r="R134">
        <v>0.22672840952873199</v>
      </c>
      <c r="S134">
        <v>0.21647545695304901</v>
      </c>
      <c r="T134">
        <v>0.36176687479019198</v>
      </c>
      <c r="U134" t="s">
        <v>540</v>
      </c>
      <c r="V134" t="s">
        <v>541</v>
      </c>
      <c r="W134">
        <v>1.1520182988634899</v>
      </c>
      <c r="X134">
        <v>6</v>
      </c>
      <c r="Y134">
        <v>7</v>
      </c>
      <c r="Z134" t="s">
        <v>542</v>
      </c>
      <c r="AA134" t="s">
        <v>543</v>
      </c>
      <c r="AB134">
        <v>0.76075559999999998</v>
      </c>
      <c r="AC134">
        <v>0.78955839999999999</v>
      </c>
      <c r="AD134">
        <v>0.77515699999999998</v>
      </c>
      <c r="AE134">
        <v>0.24604156999999999</v>
      </c>
      <c r="AF134">
        <v>0.34699973000000001</v>
      </c>
      <c r="AG134">
        <v>0.29652065</v>
      </c>
      <c r="AJ134" t="s">
        <v>44</v>
      </c>
    </row>
    <row r="135" spans="1:36" x14ac:dyDescent="0.2">
      <c r="A135">
        <v>133</v>
      </c>
      <c r="B135" t="s">
        <v>537</v>
      </c>
      <c r="C135" t="s">
        <v>544</v>
      </c>
      <c r="E135" t="s">
        <v>42</v>
      </c>
      <c r="F135" t="s">
        <v>542</v>
      </c>
      <c r="G135" t="s">
        <v>545</v>
      </c>
      <c r="H135" t="s">
        <v>72</v>
      </c>
      <c r="I135" t="b">
        <f t="shared" si="2"/>
        <v>1</v>
      </c>
      <c r="J135">
        <v>0</v>
      </c>
      <c r="K135">
        <v>1.22961839661002E-2</v>
      </c>
      <c r="L135">
        <v>3.05343512445688E-2</v>
      </c>
      <c r="M135">
        <v>1.54140936210752E-2</v>
      </c>
      <c r="N135">
        <v>5.3921535611152697E-2</v>
      </c>
      <c r="O135">
        <v>0</v>
      </c>
      <c r="P135">
        <v>1.61080014705658</v>
      </c>
      <c r="Q135">
        <v>0.43249297142028797</v>
      </c>
      <c r="R135">
        <v>0.34682574868202198</v>
      </c>
      <c r="S135">
        <v>0.78352451324462902</v>
      </c>
      <c r="T135">
        <v>0.51395970582962003</v>
      </c>
      <c r="U135" t="s">
        <v>546</v>
      </c>
      <c r="V135" t="s">
        <v>547</v>
      </c>
      <c r="W135">
        <v>0.920194250040554</v>
      </c>
      <c r="X135">
        <v>6</v>
      </c>
      <c r="Y135">
        <v>7</v>
      </c>
      <c r="Z135" t="s">
        <v>542</v>
      </c>
      <c r="AA135" t="s">
        <v>545</v>
      </c>
      <c r="AB135">
        <v>0.76075559999999998</v>
      </c>
      <c r="AC135">
        <v>0.75450640000000002</v>
      </c>
      <c r="AD135">
        <v>0.75763100000000005</v>
      </c>
      <c r="AE135">
        <v>0.24604156999999999</v>
      </c>
      <c r="AF135">
        <v>0.36404170000000002</v>
      </c>
      <c r="AG135">
        <v>0.30504160000000002</v>
      </c>
      <c r="AJ135" t="s">
        <v>48</v>
      </c>
    </row>
    <row r="136" spans="1:36" x14ac:dyDescent="0.2">
      <c r="A136">
        <v>134</v>
      </c>
      <c r="B136" t="s">
        <v>537</v>
      </c>
      <c r="C136" t="s">
        <v>548</v>
      </c>
      <c r="D136" t="s">
        <v>72</v>
      </c>
      <c r="E136" t="s">
        <v>46</v>
      </c>
      <c r="I136" t="b">
        <f t="shared" si="2"/>
        <v>1</v>
      </c>
      <c r="J136">
        <v>2.40963846445084E-2</v>
      </c>
      <c r="K136">
        <v>0</v>
      </c>
      <c r="M136">
        <v>0.30596736073494002</v>
      </c>
      <c r="N136">
        <v>2.66660824418068E-2</v>
      </c>
      <c r="O136">
        <v>4</v>
      </c>
      <c r="P136">
        <v>0</v>
      </c>
      <c r="W136">
        <v>1.32812136420645</v>
      </c>
      <c r="X136">
        <v>6</v>
      </c>
      <c r="Y136">
        <v>4</v>
      </c>
      <c r="Z136" t="s">
        <v>542</v>
      </c>
      <c r="AA136" t="s">
        <v>549</v>
      </c>
      <c r="AB136">
        <v>0.76075559999999998</v>
      </c>
      <c r="AC136">
        <v>0.68594040000000001</v>
      </c>
      <c r="AD136">
        <v>0.72334799999999999</v>
      </c>
      <c r="AE136">
        <v>0.24604156999999999</v>
      </c>
      <c r="AF136">
        <v>6.9551150000000006E-2</v>
      </c>
      <c r="AG136">
        <v>0.15779635</v>
      </c>
      <c r="AJ136" t="s">
        <v>61</v>
      </c>
    </row>
    <row r="137" spans="1:36" x14ac:dyDescent="0.2">
      <c r="A137">
        <v>135</v>
      </c>
      <c r="B137" t="s">
        <v>550</v>
      </c>
      <c r="C137" t="s">
        <v>551</v>
      </c>
      <c r="E137" t="s">
        <v>35</v>
      </c>
      <c r="F137" t="s">
        <v>552</v>
      </c>
      <c r="G137" t="s">
        <v>553</v>
      </c>
      <c r="I137" t="b">
        <f t="shared" si="2"/>
        <v>0</v>
      </c>
      <c r="J137">
        <v>5.2631586790084797E-2</v>
      </c>
      <c r="K137">
        <v>2.0984360948205001E-2</v>
      </c>
      <c r="L137">
        <v>4.59770113229752E-2</v>
      </c>
      <c r="M137">
        <v>9.3118116259574904E-2</v>
      </c>
      <c r="N137">
        <v>0.104837343096733</v>
      </c>
      <c r="O137">
        <v>11</v>
      </c>
      <c r="P137">
        <v>1.82563936710358</v>
      </c>
      <c r="Q137">
        <v>0.523648321628571</v>
      </c>
      <c r="R137">
        <v>0.48071190714836098</v>
      </c>
      <c r="S137">
        <v>1</v>
      </c>
      <c r="T137">
        <v>0.456409841775894</v>
      </c>
      <c r="U137" t="s">
        <v>39</v>
      </c>
      <c r="V137" t="s">
        <v>554</v>
      </c>
      <c r="W137">
        <v>1.08965634768755</v>
      </c>
      <c r="X137">
        <v>5</v>
      </c>
      <c r="Y137">
        <v>6</v>
      </c>
      <c r="Z137" t="s">
        <v>552</v>
      </c>
      <c r="AA137" t="s">
        <v>553</v>
      </c>
      <c r="AB137">
        <v>0.74561655999999998</v>
      </c>
      <c r="AC137">
        <v>0.71386576000000002</v>
      </c>
      <c r="AD137">
        <v>0.72974116</v>
      </c>
      <c r="AE137">
        <v>0.18206261000000001</v>
      </c>
      <c r="AF137">
        <v>0.16522732000000001</v>
      </c>
      <c r="AG137">
        <v>0.17364495999999999</v>
      </c>
      <c r="AJ137" t="s">
        <v>61</v>
      </c>
    </row>
    <row r="138" spans="1:36" x14ac:dyDescent="0.2">
      <c r="A138">
        <v>136</v>
      </c>
      <c r="B138" t="s">
        <v>550</v>
      </c>
      <c r="C138" t="s">
        <v>555</v>
      </c>
      <c r="E138" t="s">
        <v>42</v>
      </c>
      <c r="F138" t="s">
        <v>552</v>
      </c>
      <c r="G138" t="s">
        <v>556</v>
      </c>
      <c r="I138" t="b">
        <f t="shared" si="2"/>
        <v>0</v>
      </c>
      <c r="J138">
        <v>0</v>
      </c>
      <c r="K138">
        <v>2.9258875176310501E-2</v>
      </c>
      <c r="L138">
        <v>3.4482758492231397E-2</v>
      </c>
      <c r="M138">
        <v>6.4743429422378498E-2</v>
      </c>
      <c r="N138">
        <v>0.25599467754364003</v>
      </c>
      <c r="O138">
        <v>0</v>
      </c>
      <c r="P138">
        <v>2.54552221298218</v>
      </c>
      <c r="Q138">
        <v>0.523648321628571</v>
      </c>
      <c r="R138">
        <v>0.58192813396453902</v>
      </c>
      <c r="S138">
        <v>1</v>
      </c>
      <c r="T138">
        <v>0.84850740432739302</v>
      </c>
      <c r="U138" t="s">
        <v>39</v>
      </c>
      <c r="V138" t="s">
        <v>557</v>
      </c>
      <c r="W138">
        <v>1.04218167223483</v>
      </c>
      <c r="X138">
        <v>5</v>
      </c>
      <c r="Y138">
        <v>7</v>
      </c>
      <c r="Z138" t="s">
        <v>552</v>
      </c>
      <c r="AA138" t="s">
        <v>556</v>
      </c>
      <c r="AB138">
        <v>0.74561655999999998</v>
      </c>
      <c r="AC138">
        <v>0.76580269999999995</v>
      </c>
      <c r="AD138">
        <v>0.75570965000000001</v>
      </c>
      <c r="AE138">
        <v>0.18206261000000001</v>
      </c>
      <c r="AF138">
        <v>0.41948226</v>
      </c>
      <c r="AG138">
        <v>0.30077242999999998</v>
      </c>
      <c r="AJ138" t="s">
        <v>40</v>
      </c>
    </row>
    <row r="139" spans="1:36" x14ac:dyDescent="0.2">
      <c r="A139">
        <v>137</v>
      </c>
      <c r="B139" t="s">
        <v>550</v>
      </c>
      <c r="C139" t="s">
        <v>558</v>
      </c>
      <c r="E139" t="s">
        <v>46</v>
      </c>
      <c r="I139" t="b">
        <f t="shared" si="2"/>
        <v>0</v>
      </c>
      <c r="J139">
        <v>4.7846898436546298E-2</v>
      </c>
      <c r="K139">
        <v>0</v>
      </c>
      <c r="M139">
        <v>0.128483846783638</v>
      </c>
      <c r="N139">
        <v>1.83143466711044E-2</v>
      </c>
      <c r="O139">
        <v>10</v>
      </c>
      <c r="P139">
        <v>0</v>
      </c>
      <c r="W139">
        <v>0.704042248211733</v>
      </c>
      <c r="X139">
        <v>5</v>
      </c>
      <c r="Y139">
        <v>5</v>
      </c>
      <c r="Z139" t="s">
        <v>552</v>
      </c>
      <c r="AA139" t="s">
        <v>559</v>
      </c>
      <c r="AB139">
        <v>0.74561655999999998</v>
      </c>
      <c r="AC139">
        <v>0.85534600000000005</v>
      </c>
      <c r="AD139">
        <v>0.80048129999999995</v>
      </c>
      <c r="AE139">
        <v>0.18206261000000001</v>
      </c>
      <c r="AF139">
        <v>0.43111222999999999</v>
      </c>
      <c r="AG139">
        <v>0.30658742999999999</v>
      </c>
      <c r="AJ139" t="s">
        <v>44</v>
      </c>
    </row>
    <row r="140" spans="1:36" x14ac:dyDescent="0.2">
      <c r="A140">
        <v>138</v>
      </c>
      <c r="B140" t="s">
        <v>560</v>
      </c>
      <c r="C140" t="s">
        <v>561</v>
      </c>
      <c r="E140" t="s">
        <v>35</v>
      </c>
      <c r="F140" t="s">
        <v>562</v>
      </c>
      <c r="G140" t="s">
        <v>563</v>
      </c>
      <c r="I140" t="b">
        <f t="shared" si="2"/>
        <v>0</v>
      </c>
      <c r="J140">
        <v>4.0000006556510898E-2</v>
      </c>
      <c r="K140">
        <v>5.2071519196033499E-2</v>
      </c>
      <c r="L140">
        <v>8.9743591845035595E-2</v>
      </c>
      <c r="M140">
        <v>0.239401265978813</v>
      </c>
      <c r="N140">
        <v>0.26591733098030101</v>
      </c>
      <c r="O140">
        <v>10</v>
      </c>
      <c r="P140">
        <v>4.0615782737731898</v>
      </c>
      <c r="Q140">
        <v>0.41874238848686202</v>
      </c>
      <c r="R140">
        <v>0.53369575738906905</v>
      </c>
      <c r="S140">
        <v>0.58022546768188499</v>
      </c>
      <c r="T140">
        <v>1</v>
      </c>
      <c r="U140" t="s">
        <v>564</v>
      </c>
      <c r="V140" t="s">
        <v>39</v>
      </c>
      <c r="W140">
        <v>0.56177000206564198</v>
      </c>
      <c r="X140">
        <v>6</v>
      </c>
      <c r="Y140">
        <v>6</v>
      </c>
      <c r="Z140" t="s">
        <v>562</v>
      </c>
      <c r="AA140" t="s">
        <v>563</v>
      </c>
      <c r="AB140">
        <v>0.62849580000000005</v>
      </c>
      <c r="AC140">
        <v>0.80656534000000002</v>
      </c>
      <c r="AD140">
        <v>0.71753060000000002</v>
      </c>
      <c r="AE140">
        <v>0.25406600000000001</v>
      </c>
      <c r="AF140">
        <v>0.27135160000000003</v>
      </c>
      <c r="AG140">
        <v>0.26270877999999998</v>
      </c>
      <c r="AJ140" t="s">
        <v>61</v>
      </c>
    </row>
    <row r="141" spans="1:36" x14ac:dyDescent="0.2">
      <c r="A141">
        <v>139</v>
      </c>
      <c r="B141" t="s">
        <v>560</v>
      </c>
      <c r="C141" t="s">
        <v>565</v>
      </c>
      <c r="E141" t="s">
        <v>42</v>
      </c>
      <c r="F141" t="s">
        <v>566</v>
      </c>
      <c r="G141" t="s">
        <v>567</v>
      </c>
      <c r="I141" t="b">
        <f t="shared" si="2"/>
        <v>0</v>
      </c>
      <c r="J141">
        <v>0</v>
      </c>
      <c r="K141">
        <v>1.6145175322890299E-2</v>
      </c>
      <c r="L141">
        <v>3.8461539894342402E-2</v>
      </c>
      <c r="M141">
        <v>2.3191735148429898E-2</v>
      </c>
      <c r="N141">
        <v>6.9472685456275898E-2</v>
      </c>
      <c r="O141">
        <v>0</v>
      </c>
      <c r="P141">
        <v>1.67909812927246</v>
      </c>
      <c r="Q141">
        <v>0.304500311613083</v>
      </c>
      <c r="R141">
        <v>0.425779789686203</v>
      </c>
      <c r="S141">
        <v>0.41977453231811501</v>
      </c>
      <c r="T141">
        <v>1</v>
      </c>
      <c r="U141" t="s">
        <v>568</v>
      </c>
      <c r="V141" t="s">
        <v>39</v>
      </c>
      <c r="W141">
        <v>1.1375026479435399</v>
      </c>
      <c r="X141">
        <v>6</v>
      </c>
      <c r="Y141">
        <v>7</v>
      </c>
      <c r="Z141" t="s">
        <v>562</v>
      </c>
      <c r="AA141" t="s">
        <v>567</v>
      </c>
      <c r="AB141">
        <v>0.62849580000000005</v>
      </c>
      <c r="AC141">
        <v>0.72112226000000001</v>
      </c>
      <c r="AD141">
        <v>0.67480903999999997</v>
      </c>
      <c r="AE141">
        <v>0.25406600000000001</v>
      </c>
      <c r="AF141">
        <v>2.2838161999999999E-2</v>
      </c>
      <c r="AG141">
        <v>0.13845208000000001</v>
      </c>
      <c r="AI141" t="s">
        <v>569</v>
      </c>
      <c r="AJ141" t="s">
        <v>40</v>
      </c>
    </row>
    <row r="142" spans="1:36" x14ac:dyDescent="0.2">
      <c r="A142">
        <v>140</v>
      </c>
      <c r="B142" t="s">
        <v>560</v>
      </c>
      <c r="C142" t="s">
        <v>570</v>
      </c>
      <c r="E142" t="s">
        <v>46</v>
      </c>
      <c r="I142" t="b">
        <f t="shared" si="2"/>
        <v>0</v>
      </c>
      <c r="J142">
        <v>5.2000004798173897E-2</v>
      </c>
      <c r="K142">
        <v>0</v>
      </c>
      <c r="M142">
        <v>0.38383242487907399</v>
      </c>
      <c r="N142">
        <v>2.47104559093714E-2</v>
      </c>
      <c r="O142">
        <v>13</v>
      </c>
      <c r="P142">
        <v>0</v>
      </c>
      <c r="W142">
        <v>0.48923575554128901</v>
      </c>
      <c r="X142">
        <v>6</v>
      </c>
      <c r="Y142">
        <v>6</v>
      </c>
      <c r="Z142" t="s">
        <v>562</v>
      </c>
      <c r="AA142" t="s">
        <v>571</v>
      </c>
      <c r="AB142">
        <v>0.62849580000000005</v>
      </c>
      <c r="AC142">
        <v>0.64790683999999998</v>
      </c>
      <c r="AD142">
        <v>0.63820136000000005</v>
      </c>
      <c r="AE142">
        <v>0.25406600000000001</v>
      </c>
      <c r="AF142">
        <v>2.6098284999999999E-2</v>
      </c>
      <c r="AG142">
        <v>0.14008213999999999</v>
      </c>
      <c r="AJ142" t="s">
        <v>44</v>
      </c>
    </row>
    <row r="143" spans="1:36" x14ac:dyDescent="0.2">
      <c r="A143">
        <v>141</v>
      </c>
      <c r="B143" t="s">
        <v>572</v>
      </c>
      <c r="C143" t="s">
        <v>383</v>
      </c>
      <c r="E143" t="s">
        <v>35</v>
      </c>
      <c r="F143" t="s">
        <v>573</v>
      </c>
      <c r="G143" t="s">
        <v>384</v>
      </c>
      <c r="I143" t="b">
        <f t="shared" si="2"/>
        <v>0</v>
      </c>
      <c r="J143">
        <v>0.181434631347656</v>
      </c>
      <c r="K143">
        <v>2.4752475321292901E-2</v>
      </c>
      <c r="L143">
        <v>4.9504950642585803E-2</v>
      </c>
      <c r="M143">
        <v>0.29971656203269997</v>
      </c>
      <c r="N143">
        <v>0.26579999923706099</v>
      </c>
      <c r="O143">
        <v>43</v>
      </c>
      <c r="P143">
        <v>2.5</v>
      </c>
      <c r="Q143">
        <v>0.42174944281578097</v>
      </c>
      <c r="R143">
        <v>0.406821429729462</v>
      </c>
      <c r="S143">
        <v>1</v>
      </c>
      <c r="T143">
        <v>0.5</v>
      </c>
      <c r="U143" t="s">
        <v>39</v>
      </c>
      <c r="V143" t="s">
        <v>574</v>
      </c>
      <c r="W143">
        <v>1.2777251802918199</v>
      </c>
      <c r="X143">
        <v>6</v>
      </c>
      <c r="Y143">
        <v>5</v>
      </c>
      <c r="Z143" t="s">
        <v>573</v>
      </c>
      <c r="AA143" t="s">
        <v>384</v>
      </c>
      <c r="AB143">
        <v>0.76172779999999995</v>
      </c>
      <c r="AC143">
        <v>0.78923094000000005</v>
      </c>
      <c r="AD143">
        <v>0.77547940000000004</v>
      </c>
      <c r="AE143">
        <v>0.38268942</v>
      </c>
      <c r="AF143">
        <v>0.15093202999999999</v>
      </c>
      <c r="AG143">
        <v>0.26681072</v>
      </c>
      <c r="AJ143" t="s">
        <v>48</v>
      </c>
    </row>
    <row r="144" spans="1:36" x14ac:dyDescent="0.2">
      <c r="A144">
        <v>142</v>
      </c>
      <c r="B144" t="s">
        <v>572</v>
      </c>
      <c r="C144" t="s">
        <v>575</v>
      </c>
      <c r="E144" t="s">
        <v>42</v>
      </c>
      <c r="F144" t="s">
        <v>573</v>
      </c>
      <c r="G144" t="s">
        <v>576</v>
      </c>
      <c r="I144" t="b">
        <f t="shared" si="2"/>
        <v>0</v>
      </c>
      <c r="J144">
        <v>0</v>
      </c>
      <c r="K144">
        <v>1.8676707521080999E-2</v>
      </c>
      <c r="L144">
        <v>4.9504950642585803E-2</v>
      </c>
      <c r="M144">
        <v>2.98631452023983E-2</v>
      </c>
      <c r="N144">
        <v>0.18640884757041901</v>
      </c>
      <c r="O144">
        <v>0</v>
      </c>
      <c r="P144">
        <v>1.88634741306305</v>
      </c>
      <c r="Q144">
        <v>0.42174944281578097</v>
      </c>
      <c r="R144">
        <v>0.22016999125480699</v>
      </c>
      <c r="S144">
        <v>1</v>
      </c>
      <c r="T144">
        <v>0.377269476652145</v>
      </c>
      <c r="U144" t="s">
        <v>39</v>
      </c>
      <c r="V144" t="s">
        <v>577</v>
      </c>
      <c r="W144">
        <v>1.1615225369279401</v>
      </c>
      <c r="X144">
        <v>6</v>
      </c>
      <c r="Y144">
        <v>7</v>
      </c>
      <c r="Z144" t="s">
        <v>573</v>
      </c>
      <c r="AA144" t="s">
        <v>576</v>
      </c>
      <c r="AB144">
        <v>0.76172779999999995</v>
      </c>
      <c r="AC144">
        <v>0.65930796000000003</v>
      </c>
      <c r="AD144">
        <v>0.71051790000000004</v>
      </c>
      <c r="AE144">
        <v>0.38268942</v>
      </c>
      <c r="AF144">
        <v>8.6707930000000003E-2</v>
      </c>
      <c r="AG144">
        <v>0.23469867</v>
      </c>
      <c r="AH144" t="s">
        <v>72</v>
      </c>
      <c r="AI144" t="s">
        <v>162</v>
      </c>
      <c r="AJ144" t="s">
        <v>61</v>
      </c>
    </row>
    <row r="145" spans="1:36" x14ac:dyDescent="0.2">
      <c r="A145">
        <v>143</v>
      </c>
      <c r="B145" t="s">
        <v>572</v>
      </c>
      <c r="C145" t="s">
        <v>578</v>
      </c>
      <c r="E145" t="s">
        <v>46</v>
      </c>
      <c r="I145" t="b">
        <f t="shared" si="2"/>
        <v>0</v>
      </c>
      <c r="J145">
        <v>1.26582309603691E-2</v>
      </c>
      <c r="K145">
        <v>0</v>
      </c>
      <c r="M145">
        <v>0.18726232647895799</v>
      </c>
      <c r="N145">
        <v>3.8699999451637303E-2</v>
      </c>
      <c r="O145">
        <v>3</v>
      </c>
      <c r="P145">
        <v>0</v>
      </c>
      <c r="W145">
        <v>1.4992856285103799</v>
      </c>
      <c r="X145">
        <v>6</v>
      </c>
      <c r="Y145">
        <v>5</v>
      </c>
      <c r="Z145" t="s">
        <v>573</v>
      </c>
      <c r="AA145" t="s">
        <v>579</v>
      </c>
      <c r="AB145">
        <v>0.76172779999999995</v>
      </c>
      <c r="AC145">
        <v>0.55683269999999996</v>
      </c>
      <c r="AD145">
        <v>0.65928023999999996</v>
      </c>
      <c r="AE145">
        <v>0.38268942</v>
      </c>
      <c r="AF145">
        <v>0.60774994000000004</v>
      </c>
      <c r="AG145">
        <v>0.49521968</v>
      </c>
      <c r="AH145" t="s">
        <v>72</v>
      </c>
      <c r="AI145" t="s">
        <v>76</v>
      </c>
      <c r="AJ145" t="s">
        <v>40</v>
      </c>
    </row>
    <row r="146" spans="1:36" x14ac:dyDescent="0.2">
      <c r="A146">
        <v>144</v>
      </c>
      <c r="B146" t="s">
        <v>580</v>
      </c>
      <c r="C146" t="s">
        <v>581</v>
      </c>
      <c r="E146" t="s">
        <v>35</v>
      </c>
      <c r="F146" t="s">
        <v>582</v>
      </c>
      <c r="G146" t="s">
        <v>583</v>
      </c>
      <c r="I146" t="b">
        <f t="shared" si="2"/>
        <v>0</v>
      </c>
      <c r="J146">
        <v>3.6458328366279602E-2</v>
      </c>
      <c r="K146">
        <v>1.0424834676086899E-2</v>
      </c>
      <c r="L146">
        <v>0.120689652860165</v>
      </c>
      <c r="M146">
        <v>0.267675280570984</v>
      </c>
      <c r="N146">
        <v>3.6477204412221902E-2</v>
      </c>
      <c r="O146">
        <v>7</v>
      </c>
      <c r="P146">
        <v>1.2092808485031099</v>
      </c>
      <c r="Q146">
        <v>0.23080249130725899</v>
      </c>
      <c r="R146">
        <v>0.37682914733886702</v>
      </c>
      <c r="S146">
        <v>0.60768449306488004</v>
      </c>
      <c r="T146">
        <v>0.14214153587818101</v>
      </c>
      <c r="U146" t="s">
        <v>584</v>
      </c>
      <c r="V146" t="s">
        <v>585</v>
      </c>
      <c r="W146">
        <v>1.33970487202137</v>
      </c>
      <c r="X146">
        <v>5</v>
      </c>
      <c r="Y146">
        <v>3</v>
      </c>
      <c r="Z146" t="s">
        <v>582</v>
      </c>
      <c r="AA146" t="s">
        <v>586</v>
      </c>
      <c r="AB146">
        <v>0.68423509999999998</v>
      </c>
      <c r="AC146">
        <v>0.81057900000000005</v>
      </c>
      <c r="AD146">
        <v>0.74740709999999999</v>
      </c>
      <c r="AE146">
        <v>0.26644859999999998</v>
      </c>
      <c r="AF146">
        <v>0.37285384999999999</v>
      </c>
      <c r="AG146">
        <v>0.31965122000000001</v>
      </c>
      <c r="AJ146" t="s">
        <v>44</v>
      </c>
    </row>
    <row r="147" spans="1:36" x14ac:dyDescent="0.2">
      <c r="A147">
        <v>145</v>
      </c>
      <c r="B147" t="s">
        <v>580</v>
      </c>
      <c r="C147" t="s">
        <v>587</v>
      </c>
      <c r="E147" t="s">
        <v>42</v>
      </c>
      <c r="F147" t="s">
        <v>582</v>
      </c>
      <c r="G147" t="s">
        <v>588</v>
      </c>
      <c r="I147" t="b">
        <f t="shared" si="2"/>
        <v>0</v>
      </c>
      <c r="J147">
        <v>0</v>
      </c>
      <c r="K147">
        <v>1.5715979039668999E-2</v>
      </c>
      <c r="L147">
        <v>2.5862069800496101E-2</v>
      </c>
      <c r="M147">
        <v>7.4206314980983706E-2</v>
      </c>
      <c r="N147">
        <v>0.20728118717670399</v>
      </c>
      <c r="O147">
        <v>0</v>
      </c>
      <c r="P147">
        <v>1.82305347919464</v>
      </c>
      <c r="Q147">
        <v>0.23080249130725899</v>
      </c>
      <c r="R147">
        <v>0.25990962982177701</v>
      </c>
      <c r="S147">
        <v>0.60768449306488004</v>
      </c>
      <c r="T147">
        <v>1</v>
      </c>
      <c r="U147" t="s">
        <v>584</v>
      </c>
      <c r="V147" t="s">
        <v>39</v>
      </c>
      <c r="W147">
        <v>0.97372669741194995</v>
      </c>
      <c r="X147">
        <v>5</v>
      </c>
      <c r="Y147">
        <v>4</v>
      </c>
      <c r="Z147" t="s">
        <v>582</v>
      </c>
      <c r="AA147" t="s">
        <v>588</v>
      </c>
      <c r="AB147">
        <v>0.68423509999999998</v>
      </c>
      <c r="AC147">
        <v>0.75890665999999996</v>
      </c>
      <c r="AD147">
        <v>0.72157084999999999</v>
      </c>
      <c r="AE147">
        <v>0.26644859999999998</v>
      </c>
      <c r="AF147">
        <v>0.42403856000000001</v>
      </c>
      <c r="AG147">
        <v>0.34524357</v>
      </c>
      <c r="AI147" t="s">
        <v>569</v>
      </c>
      <c r="AJ147" t="s">
        <v>48</v>
      </c>
    </row>
    <row r="148" spans="1:36" x14ac:dyDescent="0.2">
      <c r="A148">
        <v>146</v>
      </c>
      <c r="B148" t="s">
        <v>580</v>
      </c>
      <c r="C148" t="s">
        <v>589</v>
      </c>
      <c r="E148" t="s">
        <v>46</v>
      </c>
      <c r="I148" t="b">
        <f t="shared" si="2"/>
        <v>0</v>
      </c>
      <c r="J148">
        <v>2.08333302289248E-2</v>
      </c>
      <c r="K148">
        <v>0</v>
      </c>
      <c r="M148">
        <v>0.33866128325462302</v>
      </c>
      <c r="N148">
        <v>2.14758198708296E-2</v>
      </c>
      <c r="O148">
        <v>4</v>
      </c>
      <c r="P148">
        <v>0</v>
      </c>
      <c r="W148">
        <v>1.47431346909797</v>
      </c>
      <c r="X148">
        <v>5</v>
      </c>
      <c r="Y148">
        <v>4</v>
      </c>
      <c r="Z148" t="s">
        <v>582</v>
      </c>
      <c r="AA148" t="s">
        <v>590</v>
      </c>
      <c r="AB148">
        <v>0.68423509999999998</v>
      </c>
      <c r="AC148">
        <v>0.55239579999999999</v>
      </c>
      <c r="AD148">
        <v>0.61831546000000004</v>
      </c>
      <c r="AE148">
        <v>0.26644859999999998</v>
      </c>
      <c r="AF148">
        <v>2.7797454999999999E-2</v>
      </c>
      <c r="AG148">
        <v>0.14712301999999999</v>
      </c>
      <c r="AJ148" t="s">
        <v>61</v>
      </c>
    </row>
    <row r="149" spans="1:36" x14ac:dyDescent="0.2">
      <c r="A149">
        <v>147</v>
      </c>
      <c r="B149" t="s">
        <v>591</v>
      </c>
      <c r="C149" t="s">
        <v>592</v>
      </c>
      <c r="E149" t="s">
        <v>35</v>
      </c>
      <c r="F149" t="s">
        <v>593</v>
      </c>
      <c r="G149" t="s">
        <v>594</v>
      </c>
      <c r="I149" t="b">
        <f t="shared" si="2"/>
        <v>0</v>
      </c>
      <c r="J149">
        <v>6.5116278827190399E-2</v>
      </c>
      <c r="K149">
        <v>7.5000002980232197E-2</v>
      </c>
      <c r="L149">
        <v>0.15000000596046401</v>
      </c>
      <c r="M149">
        <v>0.412218868732452</v>
      </c>
      <c r="N149">
        <v>0.29484999179840099</v>
      </c>
      <c r="O149">
        <v>14</v>
      </c>
      <c r="P149">
        <v>9</v>
      </c>
      <c r="Q149">
        <v>0.47261121869087203</v>
      </c>
      <c r="R149">
        <v>0.27661913633346602</v>
      </c>
      <c r="S149">
        <v>1</v>
      </c>
      <c r="T149">
        <v>0.5</v>
      </c>
      <c r="U149" t="s">
        <v>39</v>
      </c>
      <c r="V149" t="s">
        <v>595</v>
      </c>
      <c r="W149">
        <v>0.81439771901686797</v>
      </c>
      <c r="X149">
        <v>4</v>
      </c>
      <c r="Y149">
        <v>4</v>
      </c>
      <c r="Z149" t="s">
        <v>593</v>
      </c>
      <c r="AA149" t="s">
        <v>594</v>
      </c>
      <c r="AB149">
        <v>0.76299315999999995</v>
      </c>
      <c r="AC149">
        <v>0.73914840000000004</v>
      </c>
      <c r="AD149">
        <v>0.75107073999999996</v>
      </c>
      <c r="AE149">
        <v>0.49154229999999999</v>
      </c>
      <c r="AF149">
        <v>0.61295599999999995</v>
      </c>
      <c r="AG149">
        <v>0.55224912999999998</v>
      </c>
      <c r="AJ149" t="s">
        <v>40</v>
      </c>
    </row>
    <row r="150" spans="1:36" x14ac:dyDescent="0.2">
      <c r="A150">
        <v>148</v>
      </c>
      <c r="B150" t="s">
        <v>591</v>
      </c>
      <c r="C150" t="s">
        <v>596</v>
      </c>
      <c r="E150" t="s">
        <v>42</v>
      </c>
      <c r="F150" t="s">
        <v>593</v>
      </c>
      <c r="G150" t="s">
        <v>597</v>
      </c>
      <c r="I150" t="b">
        <f t="shared" si="2"/>
        <v>0</v>
      </c>
      <c r="J150">
        <v>0</v>
      </c>
      <c r="K150">
        <v>1.9685581326484701E-2</v>
      </c>
      <c r="L150">
        <v>3.3333335071802098E-2</v>
      </c>
      <c r="M150">
        <v>4.89645525813103E-2</v>
      </c>
      <c r="N150">
        <v>9.9451556801796001E-2</v>
      </c>
      <c r="O150">
        <v>0</v>
      </c>
      <c r="P150">
        <v>2.3622696399688698</v>
      </c>
      <c r="Q150">
        <v>0.47261121869087203</v>
      </c>
      <c r="R150">
        <v>0.298249572515488</v>
      </c>
      <c r="S150">
        <v>1</v>
      </c>
      <c r="T150">
        <v>0.59056740999221802</v>
      </c>
      <c r="U150" t="s">
        <v>39</v>
      </c>
      <c r="V150" t="s">
        <v>598</v>
      </c>
      <c r="W150">
        <v>1.43905840711234</v>
      </c>
      <c r="X150">
        <v>4</v>
      </c>
      <c r="Y150">
        <v>4</v>
      </c>
      <c r="Z150" t="s">
        <v>593</v>
      </c>
      <c r="AA150" t="s">
        <v>597</v>
      </c>
      <c r="AB150">
        <v>0.76299315999999995</v>
      </c>
      <c r="AC150">
        <v>0.77151389999999997</v>
      </c>
      <c r="AD150">
        <v>0.76725350000000003</v>
      </c>
      <c r="AE150">
        <v>0.49154229999999999</v>
      </c>
      <c r="AF150">
        <v>0.12217965</v>
      </c>
      <c r="AG150">
        <v>0.30686098000000001</v>
      </c>
      <c r="AJ150" t="s">
        <v>44</v>
      </c>
    </row>
    <row r="151" spans="1:36" x14ac:dyDescent="0.2">
      <c r="A151">
        <v>149</v>
      </c>
      <c r="B151" t="s">
        <v>591</v>
      </c>
      <c r="C151" t="s">
        <v>599</v>
      </c>
      <c r="E151" t="s">
        <v>46</v>
      </c>
      <c r="I151" t="b">
        <f t="shared" si="2"/>
        <v>0</v>
      </c>
      <c r="J151">
        <v>3.7209298461675602E-2</v>
      </c>
      <c r="K151">
        <v>0</v>
      </c>
      <c r="M151">
        <v>0.218114763498306</v>
      </c>
      <c r="N151">
        <v>3.9099998772144297E-2</v>
      </c>
      <c r="O151">
        <v>8</v>
      </c>
      <c r="P151">
        <v>0</v>
      </c>
      <c r="W151">
        <v>1.2471788875924801</v>
      </c>
      <c r="X151">
        <v>4</v>
      </c>
      <c r="Y151">
        <v>6</v>
      </c>
      <c r="Z151" t="s">
        <v>593</v>
      </c>
      <c r="AA151" t="s">
        <v>600</v>
      </c>
      <c r="AB151">
        <v>0.76299315999999995</v>
      </c>
      <c r="AC151">
        <v>0.67815130000000001</v>
      </c>
      <c r="AD151">
        <v>0.72057223000000004</v>
      </c>
      <c r="AE151">
        <v>0.49154229999999999</v>
      </c>
      <c r="AF151">
        <v>0.13731396000000001</v>
      </c>
      <c r="AG151">
        <v>0.31442815000000002</v>
      </c>
      <c r="AJ151" t="s">
        <v>48</v>
      </c>
    </row>
    <row r="152" spans="1:36" x14ac:dyDescent="0.2">
      <c r="A152">
        <v>150</v>
      </c>
      <c r="B152" t="s">
        <v>601</v>
      </c>
      <c r="C152" t="s">
        <v>400</v>
      </c>
      <c r="E152" t="s">
        <v>35</v>
      </c>
      <c r="F152" t="s">
        <v>602</v>
      </c>
      <c r="G152" t="s">
        <v>405</v>
      </c>
      <c r="I152" t="b">
        <f t="shared" si="2"/>
        <v>0</v>
      </c>
      <c r="J152">
        <v>0.18965519964694999</v>
      </c>
      <c r="K152">
        <v>0.13445378839969599</v>
      </c>
      <c r="L152">
        <v>0.26890757679939298</v>
      </c>
      <c r="M152">
        <v>0.181111544370651</v>
      </c>
      <c r="N152">
        <v>0.21764999628067</v>
      </c>
      <c r="O152">
        <v>33</v>
      </c>
      <c r="P152">
        <v>16</v>
      </c>
      <c r="Q152">
        <v>0.40379625558853199</v>
      </c>
      <c r="R152">
        <v>0.40669259428978</v>
      </c>
      <c r="S152">
        <v>1</v>
      </c>
      <c r="T152">
        <v>0.5</v>
      </c>
      <c r="U152" t="s">
        <v>39</v>
      </c>
      <c r="V152" t="s">
        <v>603</v>
      </c>
      <c r="W152">
        <v>0.54772452290266505</v>
      </c>
      <c r="X152">
        <v>5</v>
      </c>
      <c r="Y152">
        <v>4</v>
      </c>
      <c r="Z152" t="s">
        <v>602</v>
      </c>
      <c r="AA152" t="s">
        <v>405</v>
      </c>
      <c r="AB152">
        <v>0.65414225999999998</v>
      </c>
      <c r="AC152">
        <v>0.75006764999999997</v>
      </c>
      <c r="AD152">
        <v>0.70210490000000003</v>
      </c>
      <c r="AE152">
        <v>0.78845310000000002</v>
      </c>
      <c r="AF152">
        <v>0.49417633</v>
      </c>
      <c r="AG152">
        <v>0.64131473999999999</v>
      </c>
      <c r="AJ152" t="s">
        <v>40</v>
      </c>
    </row>
    <row r="153" spans="1:36" x14ac:dyDescent="0.2">
      <c r="A153">
        <v>151</v>
      </c>
      <c r="B153" t="s">
        <v>601</v>
      </c>
      <c r="C153" t="s">
        <v>604</v>
      </c>
      <c r="E153" t="s">
        <v>42</v>
      </c>
      <c r="F153" t="s">
        <v>602</v>
      </c>
      <c r="G153" t="s">
        <v>605</v>
      </c>
      <c r="I153" t="b">
        <f t="shared" si="2"/>
        <v>0</v>
      </c>
      <c r="J153">
        <v>0</v>
      </c>
      <c r="K153">
        <v>1.3688847422599799E-2</v>
      </c>
      <c r="L153">
        <v>2.5210084393620501E-2</v>
      </c>
      <c r="M153">
        <v>4.7421079128980602E-2</v>
      </c>
      <c r="N153">
        <v>0.18412822484970101</v>
      </c>
      <c r="O153">
        <v>0</v>
      </c>
      <c r="P153">
        <v>1.62897276878357</v>
      </c>
      <c r="Q153">
        <v>0.40379625558853199</v>
      </c>
      <c r="R153">
        <v>0.42276623845100397</v>
      </c>
      <c r="S153">
        <v>1</v>
      </c>
      <c r="T153">
        <v>0.542990922927856</v>
      </c>
      <c r="U153" t="s">
        <v>39</v>
      </c>
      <c r="V153" t="s">
        <v>606</v>
      </c>
      <c r="W153">
        <v>0.95448223413411004</v>
      </c>
      <c r="X153">
        <v>5</v>
      </c>
      <c r="Y153">
        <v>4</v>
      </c>
      <c r="Z153" t="s">
        <v>602</v>
      </c>
      <c r="AA153" t="s">
        <v>605</v>
      </c>
      <c r="AB153">
        <v>0.65414225999999998</v>
      </c>
      <c r="AC153">
        <v>0.79355880000000001</v>
      </c>
      <c r="AD153">
        <v>0.72385049999999995</v>
      </c>
      <c r="AE153">
        <v>0.78845310000000002</v>
      </c>
      <c r="AF153">
        <v>0.26628718000000001</v>
      </c>
      <c r="AG153">
        <v>0.52737014999999998</v>
      </c>
      <c r="AJ153" t="s">
        <v>44</v>
      </c>
    </row>
    <row r="154" spans="1:36" x14ac:dyDescent="0.2">
      <c r="A154">
        <v>152</v>
      </c>
      <c r="B154" t="s">
        <v>601</v>
      </c>
      <c r="C154" t="s">
        <v>607</v>
      </c>
      <c r="E154" t="s">
        <v>46</v>
      </c>
      <c r="I154" t="b">
        <f t="shared" si="2"/>
        <v>0</v>
      </c>
      <c r="J154">
        <v>2.8735630214214301E-2</v>
      </c>
      <c r="K154">
        <v>0</v>
      </c>
      <c r="M154">
        <v>0.16388459503650701</v>
      </c>
      <c r="N154">
        <v>3.7099998444318799E-2</v>
      </c>
      <c r="O154">
        <v>5</v>
      </c>
      <c r="P154">
        <v>0</v>
      </c>
      <c r="W154">
        <v>1.4511319379524501</v>
      </c>
      <c r="X154">
        <v>5</v>
      </c>
      <c r="Y154">
        <v>5</v>
      </c>
      <c r="Z154" t="s">
        <v>602</v>
      </c>
      <c r="AA154" t="s">
        <v>608</v>
      </c>
      <c r="AB154">
        <v>0.65414225999999998</v>
      </c>
      <c r="AC154">
        <v>0.72209524999999997</v>
      </c>
      <c r="AD154">
        <v>0.68811876000000005</v>
      </c>
      <c r="AE154">
        <v>0.78845310000000002</v>
      </c>
      <c r="AF154">
        <v>7.7733869999999997E-2</v>
      </c>
      <c r="AG154">
        <v>0.43309350000000002</v>
      </c>
      <c r="AJ154" t="s">
        <v>48</v>
      </c>
    </row>
    <row r="155" spans="1:36" x14ac:dyDescent="0.2">
      <c r="A155">
        <v>153</v>
      </c>
      <c r="B155" t="s">
        <v>609</v>
      </c>
      <c r="C155" t="s">
        <v>610</v>
      </c>
      <c r="E155" t="s">
        <v>35</v>
      </c>
      <c r="F155" t="s">
        <v>611</v>
      </c>
      <c r="G155" t="s">
        <v>612</v>
      </c>
      <c r="I155" t="b">
        <f t="shared" si="2"/>
        <v>0</v>
      </c>
      <c r="J155">
        <v>5.6179776787757901E-2</v>
      </c>
      <c r="K155">
        <v>1.6304347664117799E-2</v>
      </c>
      <c r="L155">
        <v>9.7826085984706906E-2</v>
      </c>
      <c r="M155">
        <v>0.391115993261337</v>
      </c>
      <c r="N155">
        <v>8.10833349823952E-2</v>
      </c>
      <c r="O155">
        <v>10</v>
      </c>
      <c r="P155">
        <v>1.5</v>
      </c>
      <c r="Q155">
        <v>0.36518272757530201</v>
      </c>
      <c r="R155">
        <v>0.389264285564423</v>
      </c>
      <c r="S155">
        <v>0.5</v>
      </c>
      <c r="T155">
        <v>0.33333334326744102</v>
      </c>
      <c r="U155" t="s">
        <v>613</v>
      </c>
      <c r="V155" t="s">
        <v>614</v>
      </c>
      <c r="W155">
        <v>0.83493893878255598</v>
      </c>
      <c r="X155">
        <v>5</v>
      </c>
      <c r="Y155">
        <v>4</v>
      </c>
      <c r="Z155" t="s">
        <v>611</v>
      </c>
      <c r="AA155" t="s">
        <v>615</v>
      </c>
      <c r="AB155">
        <v>0.74247134000000004</v>
      </c>
      <c r="AC155">
        <v>0.74594740000000004</v>
      </c>
      <c r="AD155">
        <v>0.74420940000000002</v>
      </c>
      <c r="AE155">
        <v>0.24318637000000001</v>
      </c>
      <c r="AF155">
        <v>0.19057104999999999</v>
      </c>
      <c r="AG155">
        <v>0.21687871</v>
      </c>
      <c r="AJ155" t="s">
        <v>48</v>
      </c>
    </row>
    <row r="156" spans="1:36" x14ac:dyDescent="0.2">
      <c r="A156">
        <v>154</v>
      </c>
      <c r="B156" t="s">
        <v>609</v>
      </c>
      <c r="C156" t="s">
        <v>616</v>
      </c>
      <c r="E156" t="s">
        <v>42</v>
      </c>
      <c r="F156" t="s">
        <v>617</v>
      </c>
      <c r="G156" t="s">
        <v>618</v>
      </c>
      <c r="I156" t="b">
        <f t="shared" si="2"/>
        <v>0</v>
      </c>
      <c r="J156">
        <v>0</v>
      </c>
      <c r="K156">
        <v>1.18099357932806E-2</v>
      </c>
      <c r="L156">
        <v>3.6144576966762501E-2</v>
      </c>
      <c r="M156">
        <v>3.4115530550479903E-2</v>
      </c>
      <c r="N156">
        <v>4.74102012813091E-2</v>
      </c>
      <c r="O156">
        <v>0</v>
      </c>
      <c r="P156">
        <v>0.98022472858428999</v>
      </c>
      <c r="Q156">
        <v>0.40544638037681602</v>
      </c>
      <c r="R156">
        <v>0.29527580738067599</v>
      </c>
      <c r="S156">
        <v>0.5</v>
      </c>
      <c r="T156">
        <v>0.65348315238952603</v>
      </c>
      <c r="U156" t="s">
        <v>619</v>
      </c>
      <c r="V156" t="s">
        <v>620</v>
      </c>
      <c r="W156">
        <v>1.4813530256109899</v>
      </c>
      <c r="X156">
        <v>5</v>
      </c>
      <c r="Y156">
        <v>7</v>
      </c>
      <c r="Z156" t="s">
        <v>611</v>
      </c>
      <c r="AA156" t="s">
        <v>618</v>
      </c>
      <c r="AB156">
        <v>0.74247134000000004</v>
      </c>
      <c r="AC156">
        <v>0.75921523999999996</v>
      </c>
      <c r="AD156">
        <v>0.75084329999999999</v>
      </c>
      <c r="AE156">
        <v>0.24318637000000001</v>
      </c>
      <c r="AF156">
        <v>0.22011140000000001</v>
      </c>
      <c r="AG156">
        <v>0.23164889</v>
      </c>
      <c r="AJ156" t="s">
        <v>61</v>
      </c>
    </row>
    <row r="157" spans="1:36" x14ac:dyDescent="0.2">
      <c r="A157">
        <v>155</v>
      </c>
      <c r="B157" t="s">
        <v>609</v>
      </c>
      <c r="C157" t="s">
        <v>621</v>
      </c>
      <c r="E157" t="s">
        <v>46</v>
      </c>
      <c r="I157" t="b">
        <f t="shared" si="2"/>
        <v>0</v>
      </c>
      <c r="J157">
        <v>1.6853937879204799E-2</v>
      </c>
      <c r="K157">
        <v>0</v>
      </c>
      <c r="M157">
        <v>9.5242269337177304E-2</v>
      </c>
      <c r="N157">
        <v>1.59499999135733E-2</v>
      </c>
      <c r="O157">
        <v>3</v>
      </c>
      <c r="P157">
        <v>0</v>
      </c>
      <c r="W157">
        <v>1.18877450030258</v>
      </c>
      <c r="X157">
        <v>5</v>
      </c>
      <c r="Y157">
        <v>5</v>
      </c>
      <c r="Z157" t="s">
        <v>611</v>
      </c>
      <c r="AA157" t="s">
        <v>622</v>
      </c>
      <c r="AB157">
        <v>0.74247134000000004</v>
      </c>
      <c r="AC157">
        <v>0.66089569999999997</v>
      </c>
      <c r="AD157">
        <v>0.70168350000000002</v>
      </c>
      <c r="AE157">
        <v>0.24318637000000001</v>
      </c>
      <c r="AF157">
        <v>6.7169019999999996E-2</v>
      </c>
      <c r="AG157">
        <v>0.1551777</v>
      </c>
      <c r="AH157" t="s">
        <v>72</v>
      </c>
      <c r="AI157" t="s">
        <v>76</v>
      </c>
      <c r="AJ157" t="s">
        <v>40</v>
      </c>
    </row>
    <row r="158" spans="1:36" x14ac:dyDescent="0.2">
      <c r="A158">
        <v>156</v>
      </c>
      <c r="B158" t="s">
        <v>623</v>
      </c>
      <c r="C158" t="s">
        <v>624</v>
      </c>
      <c r="E158" t="s">
        <v>35</v>
      </c>
      <c r="F158" t="s">
        <v>625</v>
      </c>
      <c r="G158" t="s">
        <v>626</v>
      </c>
      <c r="I158" t="b">
        <f t="shared" si="2"/>
        <v>0</v>
      </c>
      <c r="J158">
        <v>0.14285713434219399</v>
      </c>
      <c r="K158">
        <v>1.20392693206668E-2</v>
      </c>
      <c r="L158">
        <v>5.0505049526691402E-2</v>
      </c>
      <c r="M158">
        <v>0.123941317200661</v>
      </c>
      <c r="N158">
        <v>0.18001596629619601</v>
      </c>
      <c r="O158">
        <v>26</v>
      </c>
      <c r="P158">
        <v>1.3965551853179901</v>
      </c>
      <c r="Q158">
        <v>0.40051132440567</v>
      </c>
      <c r="R158">
        <v>0.39208179712295499</v>
      </c>
      <c r="S158">
        <v>0.28281918168067899</v>
      </c>
      <c r="T158">
        <v>0.389456957578659</v>
      </c>
      <c r="U158" t="s">
        <v>627</v>
      </c>
      <c r="V158" t="s">
        <v>628</v>
      </c>
      <c r="W158">
        <v>0.84960392554973196</v>
      </c>
      <c r="X158">
        <v>5</v>
      </c>
      <c r="Y158">
        <v>4</v>
      </c>
      <c r="Z158" t="s">
        <v>629</v>
      </c>
      <c r="AA158" t="s">
        <v>626</v>
      </c>
      <c r="AB158">
        <v>0.48890853000000001</v>
      </c>
      <c r="AC158">
        <v>0.80540376999999996</v>
      </c>
      <c r="AD158">
        <v>0.64715610000000001</v>
      </c>
      <c r="AE158">
        <v>8.1536955999999994E-2</v>
      </c>
      <c r="AF158">
        <v>0.43292550000000002</v>
      </c>
      <c r="AG158">
        <v>0.25723124000000003</v>
      </c>
      <c r="AJ158" t="s">
        <v>48</v>
      </c>
    </row>
    <row r="159" spans="1:36" x14ac:dyDescent="0.2">
      <c r="A159">
        <v>157</v>
      </c>
      <c r="B159" t="s">
        <v>623</v>
      </c>
      <c r="C159" t="s">
        <v>630</v>
      </c>
      <c r="E159" t="s">
        <v>42</v>
      </c>
      <c r="F159" t="s">
        <v>625</v>
      </c>
      <c r="G159" t="s">
        <v>631</v>
      </c>
      <c r="I159" t="b">
        <f t="shared" si="2"/>
        <v>0</v>
      </c>
      <c r="J159">
        <v>0</v>
      </c>
      <c r="K159">
        <v>1.42837967723608E-2</v>
      </c>
      <c r="L159">
        <v>5.0505049526691437E-2</v>
      </c>
      <c r="M159">
        <v>2.7714967727661102E-2</v>
      </c>
      <c r="N159">
        <v>6.8275615572929396E-2</v>
      </c>
      <c r="O159">
        <v>0</v>
      </c>
      <c r="P159">
        <v>1.41409587860107</v>
      </c>
      <c r="Q159">
        <v>0.40051132440567</v>
      </c>
      <c r="R159">
        <v>0.39438501000404402</v>
      </c>
      <c r="S159">
        <v>0.28281918168067899</v>
      </c>
      <c r="T159">
        <v>1</v>
      </c>
      <c r="U159" t="s">
        <v>627</v>
      </c>
      <c r="V159" t="s">
        <v>39</v>
      </c>
      <c r="W159">
        <v>0.245927069818098</v>
      </c>
      <c r="X159">
        <v>5</v>
      </c>
      <c r="Y159">
        <v>5</v>
      </c>
      <c r="Z159" t="s">
        <v>629</v>
      </c>
      <c r="AA159" t="s">
        <v>631</v>
      </c>
      <c r="AB159">
        <v>0.48890853000000001</v>
      </c>
      <c r="AC159">
        <v>0.78344999999999998</v>
      </c>
      <c r="AD159">
        <v>0.63617926999999996</v>
      </c>
      <c r="AE159">
        <v>8.1536955999999994E-2</v>
      </c>
      <c r="AF159">
        <v>7.1637443999999995E-2</v>
      </c>
      <c r="AG159">
        <v>7.6587199999999994E-2</v>
      </c>
      <c r="AH159" t="s">
        <v>72</v>
      </c>
      <c r="AI159" t="s">
        <v>76</v>
      </c>
      <c r="AJ159" t="s">
        <v>61</v>
      </c>
    </row>
    <row r="160" spans="1:36" x14ac:dyDescent="0.2">
      <c r="A160">
        <v>158</v>
      </c>
      <c r="B160" t="s">
        <v>623</v>
      </c>
      <c r="C160" t="s">
        <v>632</v>
      </c>
      <c r="E160" t="s">
        <v>46</v>
      </c>
      <c r="I160" t="b">
        <f t="shared" si="2"/>
        <v>0</v>
      </c>
      <c r="J160">
        <v>7.6923079788684803E-2</v>
      </c>
      <c r="K160">
        <v>0</v>
      </c>
      <c r="M160">
        <v>0.35810175538063099</v>
      </c>
      <c r="N160">
        <v>1.79899036884308E-2</v>
      </c>
      <c r="O160">
        <v>14</v>
      </c>
      <c r="P160">
        <v>0</v>
      </c>
      <c r="W160">
        <v>1.49080822192504</v>
      </c>
      <c r="X160">
        <v>5</v>
      </c>
      <c r="Y160">
        <v>8</v>
      </c>
      <c r="Z160" t="s">
        <v>629</v>
      </c>
      <c r="AA160" t="s">
        <v>633</v>
      </c>
      <c r="AB160">
        <v>0.48890853000000001</v>
      </c>
      <c r="AC160">
        <v>0.78772540000000002</v>
      </c>
      <c r="AD160">
        <v>0.63831700000000002</v>
      </c>
      <c r="AE160">
        <v>8.1536955999999994E-2</v>
      </c>
      <c r="AF160">
        <v>0.3202893</v>
      </c>
      <c r="AG160">
        <v>0.20091313</v>
      </c>
      <c r="AJ160" t="s">
        <v>40</v>
      </c>
    </row>
    <row r="161" spans="1:36" x14ac:dyDescent="0.2">
      <c r="A161">
        <v>159</v>
      </c>
      <c r="B161" t="s">
        <v>634</v>
      </c>
      <c r="C161" t="s">
        <v>383</v>
      </c>
      <c r="E161" t="s">
        <v>35</v>
      </c>
      <c r="F161" t="s">
        <v>635</v>
      </c>
      <c r="G161" t="s">
        <v>384</v>
      </c>
      <c r="I161" t="b">
        <f t="shared" si="2"/>
        <v>0</v>
      </c>
      <c r="J161">
        <v>0.108571425080299</v>
      </c>
      <c r="K161">
        <v>6.9444447755813599E-2</v>
      </c>
      <c r="L161">
        <v>0.138888895511627</v>
      </c>
      <c r="M161">
        <v>0.19469963014125799</v>
      </c>
      <c r="N161">
        <v>0.17489999532699599</v>
      </c>
      <c r="O161">
        <v>19</v>
      </c>
      <c r="P161">
        <v>7.5</v>
      </c>
      <c r="Q161">
        <v>0.52908849716186501</v>
      </c>
      <c r="R161">
        <v>0.406821429729462</v>
      </c>
      <c r="S161">
        <v>1</v>
      </c>
      <c r="T161">
        <v>0.5</v>
      </c>
      <c r="U161" t="s">
        <v>39</v>
      </c>
      <c r="V161" t="s">
        <v>574</v>
      </c>
      <c r="W161">
        <v>1.0255887653885001</v>
      </c>
      <c r="X161">
        <v>6</v>
      </c>
      <c r="Y161">
        <v>5</v>
      </c>
      <c r="Z161" t="s">
        <v>635</v>
      </c>
      <c r="AA161" t="s">
        <v>384</v>
      </c>
      <c r="AB161">
        <v>0.7858948</v>
      </c>
      <c r="AC161">
        <v>0.78923094000000005</v>
      </c>
      <c r="AD161">
        <v>0.78756285000000004</v>
      </c>
      <c r="AE161">
        <v>0.53203756000000002</v>
      </c>
      <c r="AF161">
        <v>0.15093202999999999</v>
      </c>
      <c r="AG161">
        <v>0.34148478999999998</v>
      </c>
      <c r="AJ161" t="s">
        <v>61</v>
      </c>
    </row>
    <row r="162" spans="1:36" x14ac:dyDescent="0.2">
      <c r="A162">
        <v>160</v>
      </c>
      <c r="B162" t="s">
        <v>634</v>
      </c>
      <c r="C162" t="s">
        <v>636</v>
      </c>
      <c r="E162" t="s">
        <v>42</v>
      </c>
      <c r="F162" t="s">
        <v>635</v>
      </c>
      <c r="G162" t="s">
        <v>637</v>
      </c>
      <c r="I162" t="b">
        <f t="shared" si="2"/>
        <v>0</v>
      </c>
      <c r="J162">
        <v>0</v>
      </c>
      <c r="K162">
        <v>9.9958889186381999E-3</v>
      </c>
      <c r="L162">
        <v>2.7777777984738398E-2</v>
      </c>
      <c r="M162">
        <v>3.8459666073322303E-2</v>
      </c>
      <c r="N162">
        <v>0.10050323605537401</v>
      </c>
      <c r="O162">
        <v>0</v>
      </c>
      <c r="P162">
        <v>1.07955598831177</v>
      </c>
      <c r="Q162">
        <v>0.52908849716186501</v>
      </c>
      <c r="R162">
        <v>0.25642222166061401</v>
      </c>
      <c r="S162">
        <v>1</v>
      </c>
      <c r="T162">
        <v>0.35985198616981501</v>
      </c>
      <c r="U162" t="s">
        <v>39</v>
      </c>
      <c r="V162" t="s">
        <v>638</v>
      </c>
      <c r="W162">
        <v>0.86470679927352201</v>
      </c>
      <c r="X162">
        <v>6</v>
      </c>
      <c r="Y162">
        <v>6</v>
      </c>
      <c r="Z162" t="s">
        <v>635</v>
      </c>
      <c r="AA162" t="s">
        <v>639</v>
      </c>
      <c r="AB162">
        <v>0.7858948</v>
      </c>
      <c r="AC162">
        <v>0.75545340000000005</v>
      </c>
      <c r="AD162">
        <v>0.77067410000000003</v>
      </c>
      <c r="AE162">
        <v>0.53203756000000002</v>
      </c>
      <c r="AF162">
        <v>0.71451335999999999</v>
      </c>
      <c r="AG162">
        <v>0.62327546</v>
      </c>
      <c r="AJ162" t="s">
        <v>40</v>
      </c>
    </row>
    <row r="163" spans="1:36" x14ac:dyDescent="0.2">
      <c r="A163">
        <v>161</v>
      </c>
      <c r="B163" t="s">
        <v>634</v>
      </c>
      <c r="C163" t="s">
        <v>640</v>
      </c>
      <c r="E163" t="s">
        <v>46</v>
      </c>
      <c r="I163" t="b">
        <f t="shared" si="2"/>
        <v>0</v>
      </c>
      <c r="J163">
        <v>4.5714288949966403E-2</v>
      </c>
      <c r="K163">
        <v>0</v>
      </c>
      <c r="M163">
        <v>0.21815052628517201</v>
      </c>
      <c r="N163">
        <v>3.7952281534671797E-2</v>
      </c>
      <c r="O163">
        <v>8</v>
      </c>
      <c r="P163">
        <v>0</v>
      </c>
      <c r="W163">
        <v>0.97144107045126005</v>
      </c>
      <c r="X163">
        <v>6</v>
      </c>
      <c r="Y163">
        <v>4</v>
      </c>
      <c r="Z163" t="s">
        <v>635</v>
      </c>
      <c r="AA163" t="s">
        <v>641</v>
      </c>
      <c r="AB163">
        <v>0.7858948</v>
      </c>
      <c r="AC163">
        <v>0.72074360000000004</v>
      </c>
      <c r="AD163">
        <v>0.75331919999999997</v>
      </c>
      <c r="AE163">
        <v>0.53203756000000002</v>
      </c>
      <c r="AF163">
        <v>0.20718074</v>
      </c>
      <c r="AG163">
        <v>0.36960915</v>
      </c>
      <c r="AJ163" t="s">
        <v>44</v>
      </c>
    </row>
    <row r="164" spans="1:36" x14ac:dyDescent="0.2">
      <c r="A164">
        <v>162</v>
      </c>
      <c r="B164" t="s">
        <v>642</v>
      </c>
      <c r="C164" t="s">
        <v>643</v>
      </c>
      <c r="E164" t="s">
        <v>35</v>
      </c>
      <c r="F164" t="s">
        <v>644</v>
      </c>
      <c r="G164" t="s">
        <v>645</v>
      </c>
      <c r="I164" t="b">
        <f t="shared" si="2"/>
        <v>0</v>
      </c>
      <c r="J164">
        <v>3.4653462469577803E-2</v>
      </c>
      <c r="K164">
        <v>4.1666667908430099E-2</v>
      </c>
      <c r="L164">
        <v>4.1666667908430099E-2</v>
      </c>
      <c r="M164">
        <v>0.167934015393257</v>
      </c>
      <c r="N164">
        <v>0.179700002074242</v>
      </c>
      <c r="O164">
        <v>7</v>
      </c>
      <c r="P164">
        <v>3</v>
      </c>
      <c r="Q164">
        <v>0.24256452918052701</v>
      </c>
      <c r="R164">
        <v>0.531027972698212</v>
      </c>
      <c r="S164">
        <v>1</v>
      </c>
      <c r="T164">
        <v>1</v>
      </c>
      <c r="U164" t="s">
        <v>39</v>
      </c>
      <c r="V164" t="s">
        <v>39</v>
      </c>
      <c r="W164">
        <v>1.0299664365728201</v>
      </c>
      <c r="X164">
        <v>5</v>
      </c>
      <c r="Y164">
        <v>5</v>
      </c>
      <c r="Z164" t="s">
        <v>644</v>
      </c>
      <c r="AA164" t="s">
        <v>645</v>
      </c>
      <c r="AB164">
        <v>0.68939375999999997</v>
      </c>
      <c r="AC164">
        <v>0.80966610000000006</v>
      </c>
      <c r="AD164">
        <v>0.74952996000000005</v>
      </c>
      <c r="AE164">
        <v>0.10314945</v>
      </c>
      <c r="AF164">
        <v>0.61000019999999999</v>
      </c>
      <c r="AG164">
        <v>0.35657483000000001</v>
      </c>
      <c r="AJ164" t="s">
        <v>40</v>
      </c>
    </row>
    <row r="165" spans="1:36" x14ac:dyDescent="0.2">
      <c r="A165">
        <v>163</v>
      </c>
      <c r="B165" t="s">
        <v>642</v>
      </c>
      <c r="C165" t="s">
        <v>646</v>
      </c>
      <c r="E165" t="s">
        <v>42</v>
      </c>
      <c r="F165" t="s">
        <v>644</v>
      </c>
      <c r="G165" t="s">
        <v>647</v>
      </c>
      <c r="I165" t="b">
        <f t="shared" si="2"/>
        <v>0</v>
      </c>
      <c r="J165">
        <v>0</v>
      </c>
      <c r="K165">
        <v>4.4611450284719502E-2</v>
      </c>
      <c r="L165">
        <v>0.15277777612209301</v>
      </c>
      <c r="M165">
        <v>3.3286243677139303E-2</v>
      </c>
      <c r="N165">
        <v>8.7775871157646193E-2</v>
      </c>
      <c r="O165">
        <v>0</v>
      </c>
      <c r="P165">
        <v>3.21202445030212</v>
      </c>
      <c r="Q165">
        <v>0.24256452918052701</v>
      </c>
      <c r="R165">
        <v>0.54456496238708496</v>
      </c>
      <c r="S165">
        <v>1</v>
      </c>
      <c r="T165">
        <v>0.29200223088264499</v>
      </c>
      <c r="U165" t="s">
        <v>39</v>
      </c>
      <c r="V165" t="s">
        <v>648</v>
      </c>
      <c r="W165">
        <v>0.90077442153416898</v>
      </c>
      <c r="X165">
        <v>5</v>
      </c>
      <c r="Y165">
        <v>5</v>
      </c>
      <c r="Z165" t="s">
        <v>644</v>
      </c>
      <c r="AA165" t="s">
        <v>649</v>
      </c>
      <c r="AB165">
        <v>0.68939375999999997</v>
      </c>
      <c r="AC165">
        <v>0.77895040000000004</v>
      </c>
      <c r="AD165">
        <v>0.73417209999999999</v>
      </c>
      <c r="AE165">
        <v>0.10314945</v>
      </c>
      <c r="AF165">
        <v>0.28712674999999999</v>
      </c>
      <c r="AG165">
        <v>0.19513810000000001</v>
      </c>
      <c r="AJ165" t="s">
        <v>44</v>
      </c>
    </row>
    <row r="166" spans="1:36" x14ac:dyDescent="0.2">
      <c r="A166">
        <v>164</v>
      </c>
      <c r="B166" t="s">
        <v>642</v>
      </c>
      <c r="C166" t="s">
        <v>650</v>
      </c>
      <c r="E166" t="s">
        <v>46</v>
      </c>
      <c r="I166" t="b">
        <f t="shared" si="2"/>
        <v>0</v>
      </c>
      <c r="J166">
        <v>0.123762384057045</v>
      </c>
      <c r="K166">
        <v>0</v>
      </c>
      <c r="M166">
        <v>9.1732889413833604E-2</v>
      </c>
      <c r="N166">
        <v>2.0636435598135001E-2</v>
      </c>
      <c r="O166">
        <v>25</v>
      </c>
      <c r="P166">
        <v>0</v>
      </c>
      <c r="W166">
        <v>0.29073192437843698</v>
      </c>
      <c r="X166">
        <v>5</v>
      </c>
      <c r="Y166">
        <v>5</v>
      </c>
      <c r="Z166" t="s">
        <v>644</v>
      </c>
      <c r="AA166" t="s">
        <v>651</v>
      </c>
      <c r="AB166">
        <v>0.68939375999999997</v>
      </c>
      <c r="AC166">
        <v>0.70774420000000005</v>
      </c>
      <c r="AD166">
        <v>0.69856894000000003</v>
      </c>
      <c r="AE166">
        <v>0.10314945</v>
      </c>
      <c r="AF166">
        <v>0.15875797</v>
      </c>
      <c r="AG166">
        <v>0.13095371</v>
      </c>
      <c r="AJ166" t="s">
        <v>48</v>
      </c>
    </row>
    <row r="167" spans="1:36" x14ac:dyDescent="0.2">
      <c r="A167">
        <v>165</v>
      </c>
      <c r="B167" t="s">
        <v>652</v>
      </c>
      <c r="C167" t="s">
        <v>653</v>
      </c>
      <c r="E167" t="s">
        <v>35</v>
      </c>
      <c r="F167" t="s">
        <v>654</v>
      </c>
      <c r="G167" t="s">
        <v>655</v>
      </c>
      <c r="I167" t="b">
        <f t="shared" si="2"/>
        <v>1</v>
      </c>
      <c r="J167">
        <v>0.14163091778755199</v>
      </c>
      <c r="K167">
        <v>6.5772116184234605E-2</v>
      </c>
      <c r="L167">
        <v>0.10000000149011599</v>
      </c>
      <c r="M167">
        <v>0.10065480321645701</v>
      </c>
      <c r="N167">
        <v>0.161404773592949</v>
      </c>
      <c r="O167">
        <v>33</v>
      </c>
      <c r="P167">
        <v>5.2617692947387704</v>
      </c>
      <c r="Q167">
        <v>0.54485976696014404</v>
      </c>
      <c r="R167">
        <v>0.50103396177291903</v>
      </c>
      <c r="S167">
        <v>0.65772116184234597</v>
      </c>
      <c r="T167">
        <v>1</v>
      </c>
      <c r="U167" t="s">
        <v>656</v>
      </c>
      <c r="V167" t="s">
        <v>39</v>
      </c>
      <c r="W167">
        <v>1.1724337808477401</v>
      </c>
      <c r="X167">
        <v>5</v>
      </c>
      <c r="Y167">
        <v>6</v>
      </c>
      <c r="Z167" t="s">
        <v>654</v>
      </c>
      <c r="AA167" t="s">
        <v>655</v>
      </c>
      <c r="AB167">
        <v>0.75136460000000005</v>
      </c>
      <c r="AC167">
        <v>0.81351229999999997</v>
      </c>
      <c r="AD167">
        <v>0.78243845999999995</v>
      </c>
      <c r="AE167">
        <v>0.56721705</v>
      </c>
      <c r="AF167">
        <v>0.44301888</v>
      </c>
      <c r="AG167">
        <v>0.50511795000000004</v>
      </c>
      <c r="AJ167" t="s">
        <v>61</v>
      </c>
    </row>
    <row r="168" spans="1:36" x14ac:dyDescent="0.2">
      <c r="A168">
        <v>166</v>
      </c>
      <c r="B168" t="s">
        <v>652</v>
      </c>
      <c r="C168" t="s">
        <v>657</v>
      </c>
      <c r="E168" t="s">
        <v>42</v>
      </c>
      <c r="F168" t="s">
        <v>654</v>
      </c>
      <c r="G168" t="s">
        <v>658</v>
      </c>
      <c r="H168" t="s">
        <v>72</v>
      </c>
      <c r="I168" t="b">
        <f t="shared" si="2"/>
        <v>1</v>
      </c>
      <c r="J168">
        <v>0</v>
      </c>
      <c r="K168">
        <v>8.0107487738132008E-3</v>
      </c>
      <c r="L168">
        <v>3.7500001490116099E-2</v>
      </c>
      <c r="M168">
        <v>2.3436300456523899E-2</v>
      </c>
      <c r="N168">
        <v>3.3986933529376998E-2</v>
      </c>
      <c r="O168">
        <v>0</v>
      </c>
      <c r="P168">
        <v>0.64085984230041504</v>
      </c>
      <c r="Q168">
        <v>0.54485976696014404</v>
      </c>
      <c r="R168">
        <v>0.57652997970581099</v>
      </c>
      <c r="S168">
        <v>0.65772116184234597</v>
      </c>
      <c r="T168">
        <v>0.32478800415992698</v>
      </c>
      <c r="U168" t="s">
        <v>656</v>
      </c>
      <c r="V168" t="s">
        <v>659</v>
      </c>
      <c r="W168">
        <v>1.4609548219655399</v>
      </c>
      <c r="X168">
        <v>5</v>
      </c>
      <c r="Y168">
        <v>8</v>
      </c>
      <c r="Z168" t="s">
        <v>654</v>
      </c>
      <c r="AA168" t="s">
        <v>660</v>
      </c>
      <c r="AB168">
        <v>0.75136460000000005</v>
      </c>
      <c r="AC168">
        <v>0.81966479999999997</v>
      </c>
      <c r="AD168">
        <v>0.78551470000000001</v>
      </c>
      <c r="AE168">
        <v>0.56721705</v>
      </c>
      <c r="AF168">
        <v>0.35095483</v>
      </c>
      <c r="AG168">
        <v>0.45908594000000003</v>
      </c>
      <c r="AJ168" t="s">
        <v>40</v>
      </c>
    </row>
    <row r="169" spans="1:36" x14ac:dyDescent="0.2">
      <c r="A169">
        <v>167</v>
      </c>
      <c r="B169" t="s">
        <v>652</v>
      </c>
      <c r="C169" t="s">
        <v>661</v>
      </c>
      <c r="D169" t="s">
        <v>72</v>
      </c>
      <c r="E169" t="s">
        <v>46</v>
      </c>
      <c r="I169" t="b">
        <f t="shared" si="2"/>
        <v>1</v>
      </c>
      <c r="J169">
        <v>2.1459221839904799E-2</v>
      </c>
      <c r="K169">
        <v>0</v>
      </c>
      <c r="M169">
        <v>0.15465913712978399</v>
      </c>
      <c r="N169">
        <v>1.1378576047718501E-2</v>
      </c>
      <c r="O169">
        <v>5</v>
      </c>
      <c r="P169">
        <v>0</v>
      </c>
      <c r="W169">
        <v>1.2505016660961501</v>
      </c>
      <c r="X169">
        <v>5</v>
      </c>
      <c r="Y169">
        <v>6</v>
      </c>
      <c r="Z169" t="s">
        <v>654</v>
      </c>
      <c r="AA169" t="s">
        <v>662</v>
      </c>
      <c r="AB169">
        <v>0.75136460000000005</v>
      </c>
      <c r="AC169">
        <v>0.73640490000000003</v>
      </c>
      <c r="AD169">
        <v>0.74388474000000004</v>
      </c>
      <c r="AE169">
        <v>0.56721705</v>
      </c>
      <c r="AF169">
        <v>0.13183837000000001</v>
      </c>
      <c r="AG169">
        <v>0.34952771999999999</v>
      </c>
      <c r="AJ169" t="s">
        <v>44</v>
      </c>
    </row>
    <row r="170" spans="1:36" x14ac:dyDescent="0.2">
      <c r="A170">
        <v>168</v>
      </c>
      <c r="B170" t="s">
        <v>663</v>
      </c>
      <c r="C170" t="s">
        <v>664</v>
      </c>
      <c r="E170" t="s">
        <v>35</v>
      </c>
      <c r="F170" t="s">
        <v>665</v>
      </c>
      <c r="G170" t="s">
        <v>666</v>
      </c>
      <c r="I170" t="b">
        <f t="shared" si="2"/>
        <v>0</v>
      </c>
      <c r="J170">
        <v>0.139130428433418</v>
      </c>
      <c r="K170">
        <v>1.33142052218318E-2</v>
      </c>
      <c r="L170">
        <v>0.123595505952835</v>
      </c>
      <c r="M170">
        <v>0.25778684020042397</v>
      </c>
      <c r="N170">
        <v>0.107683293521404</v>
      </c>
      <c r="O170">
        <v>16</v>
      </c>
      <c r="P170">
        <v>1.0784505605697601</v>
      </c>
      <c r="Q170">
        <v>0.44387087225914001</v>
      </c>
      <c r="R170">
        <v>0.489626735448837</v>
      </c>
      <c r="S170">
        <v>0.31964552402496299</v>
      </c>
      <c r="T170">
        <v>0.26418840885162398</v>
      </c>
      <c r="U170" t="s">
        <v>667</v>
      </c>
      <c r="V170" t="s">
        <v>668</v>
      </c>
      <c r="W170">
        <v>0.66808038926270197</v>
      </c>
      <c r="X170">
        <v>6</v>
      </c>
      <c r="Y170">
        <v>5</v>
      </c>
      <c r="Z170" t="s">
        <v>669</v>
      </c>
      <c r="AA170" t="s">
        <v>666</v>
      </c>
      <c r="AB170">
        <v>0.77477074000000001</v>
      </c>
      <c r="AC170">
        <v>0.82681256999999997</v>
      </c>
      <c r="AD170">
        <v>0.80079160000000005</v>
      </c>
      <c r="AE170">
        <v>0.36413259999999997</v>
      </c>
      <c r="AF170">
        <v>0.50534460000000003</v>
      </c>
      <c r="AG170">
        <v>0.43473864000000001</v>
      </c>
      <c r="AJ170" t="s">
        <v>44</v>
      </c>
    </row>
    <row r="171" spans="1:36" x14ac:dyDescent="0.2">
      <c r="A171">
        <v>169</v>
      </c>
      <c r="B171" t="s">
        <v>663</v>
      </c>
      <c r="C171" t="s">
        <v>670</v>
      </c>
      <c r="E171" t="s">
        <v>42</v>
      </c>
      <c r="F171" t="s">
        <v>669</v>
      </c>
      <c r="G171" t="s">
        <v>671</v>
      </c>
      <c r="I171" t="b">
        <f t="shared" si="2"/>
        <v>0</v>
      </c>
      <c r="J171">
        <v>0</v>
      </c>
      <c r="K171">
        <v>1.2599157169461301E-2</v>
      </c>
      <c r="L171">
        <v>3.7037037312984501E-2</v>
      </c>
      <c r="M171">
        <v>2.30488609522581E-2</v>
      </c>
      <c r="N171">
        <v>6.12999349832535E-2</v>
      </c>
      <c r="O171">
        <v>0</v>
      </c>
      <c r="P171">
        <v>1.0205316543579099</v>
      </c>
      <c r="Q171">
        <v>0.50515705347061202</v>
      </c>
      <c r="R171">
        <v>0.51188826560974099</v>
      </c>
      <c r="S171">
        <v>0.68035447597503695</v>
      </c>
      <c r="T171">
        <v>0.5</v>
      </c>
      <c r="U171" t="s">
        <v>672</v>
      </c>
      <c r="V171" t="s">
        <v>673</v>
      </c>
      <c r="W171">
        <v>1.0557947870661299</v>
      </c>
      <c r="X171">
        <v>6</v>
      </c>
      <c r="Y171">
        <v>4</v>
      </c>
      <c r="Z171" t="s">
        <v>669</v>
      </c>
      <c r="AA171" t="s">
        <v>671</v>
      </c>
      <c r="AB171">
        <v>0.77477074000000001</v>
      </c>
      <c r="AC171">
        <v>0.75772154000000003</v>
      </c>
      <c r="AD171">
        <v>0.76624614000000002</v>
      </c>
      <c r="AE171">
        <v>0.36413259999999997</v>
      </c>
      <c r="AF171">
        <v>0.18096685000000001</v>
      </c>
      <c r="AG171">
        <v>0.27254974999999998</v>
      </c>
      <c r="AJ171" t="s">
        <v>48</v>
      </c>
    </row>
    <row r="172" spans="1:36" x14ac:dyDescent="0.2">
      <c r="A172">
        <v>170</v>
      </c>
      <c r="B172" t="s">
        <v>663</v>
      </c>
      <c r="C172" t="s">
        <v>674</v>
      </c>
      <c r="E172" t="s">
        <v>46</v>
      </c>
      <c r="I172" t="b">
        <f t="shared" si="2"/>
        <v>0</v>
      </c>
      <c r="J172">
        <v>2.60869693011045E-2</v>
      </c>
      <c r="K172">
        <v>0</v>
      </c>
      <c r="M172">
        <v>8.8942475616931901E-2</v>
      </c>
      <c r="N172">
        <v>2.3200087249279001E-2</v>
      </c>
      <c r="O172">
        <v>3</v>
      </c>
      <c r="P172">
        <v>0</v>
      </c>
      <c r="W172">
        <v>0.190876277591981</v>
      </c>
      <c r="X172">
        <v>6</v>
      </c>
      <c r="Y172">
        <v>6</v>
      </c>
      <c r="Z172" t="s">
        <v>669</v>
      </c>
      <c r="AA172" t="s">
        <v>675</v>
      </c>
      <c r="AB172">
        <v>0.77477074000000001</v>
      </c>
      <c r="AC172">
        <v>0.76656234000000001</v>
      </c>
      <c r="AD172">
        <v>0.77066654000000001</v>
      </c>
      <c r="AE172">
        <v>0.36413259999999997</v>
      </c>
      <c r="AF172">
        <v>0.42770176999999998</v>
      </c>
      <c r="AG172">
        <v>0.39591717999999998</v>
      </c>
      <c r="AJ172" t="s">
        <v>61</v>
      </c>
    </row>
    <row r="173" spans="1:36" x14ac:dyDescent="0.2">
      <c r="A173">
        <v>171</v>
      </c>
      <c r="B173" t="s">
        <v>676</v>
      </c>
      <c r="C173" t="s">
        <v>400</v>
      </c>
      <c r="E173" t="s">
        <v>35</v>
      </c>
      <c r="F173" t="s">
        <v>677</v>
      </c>
      <c r="G173" t="s">
        <v>402</v>
      </c>
      <c r="I173" t="b">
        <f t="shared" si="2"/>
        <v>1</v>
      </c>
      <c r="J173">
        <v>2.9268288984894801E-2</v>
      </c>
      <c r="K173">
        <v>1.31578948348761E-2</v>
      </c>
      <c r="L173">
        <v>5.2631579339504242E-2</v>
      </c>
      <c r="M173">
        <v>0.29533958435058599</v>
      </c>
      <c r="N173">
        <v>0.101250000298023</v>
      </c>
      <c r="O173">
        <v>6</v>
      </c>
      <c r="P173">
        <v>1</v>
      </c>
      <c r="Q173">
        <v>0.50379550457000699</v>
      </c>
      <c r="R173">
        <v>0.29991933703422502</v>
      </c>
      <c r="S173">
        <v>0.5</v>
      </c>
      <c r="T173">
        <v>0.5</v>
      </c>
      <c r="U173" t="s">
        <v>678</v>
      </c>
      <c r="V173" t="s">
        <v>404</v>
      </c>
      <c r="W173">
        <v>1.2143304199590199</v>
      </c>
      <c r="X173">
        <v>5</v>
      </c>
      <c r="Y173">
        <v>4</v>
      </c>
      <c r="Z173" t="s">
        <v>677</v>
      </c>
      <c r="AA173" t="s">
        <v>405</v>
      </c>
      <c r="AB173">
        <v>0.73174340000000004</v>
      </c>
      <c r="AC173">
        <v>0.75006764999999997</v>
      </c>
      <c r="AD173">
        <v>0.74090549999999999</v>
      </c>
      <c r="AE173">
        <v>0.20821120000000001</v>
      </c>
      <c r="AF173">
        <v>0.49417633</v>
      </c>
      <c r="AG173">
        <v>0.35119376000000002</v>
      </c>
      <c r="AH173" t="s">
        <v>72</v>
      </c>
      <c r="AI173" t="s">
        <v>76</v>
      </c>
      <c r="AJ173" t="s">
        <v>48</v>
      </c>
    </row>
    <row r="174" spans="1:36" x14ac:dyDescent="0.2">
      <c r="A174">
        <v>172</v>
      </c>
      <c r="B174" t="s">
        <v>676</v>
      </c>
      <c r="C174" t="s">
        <v>679</v>
      </c>
      <c r="E174" t="s">
        <v>42</v>
      </c>
      <c r="F174" t="s">
        <v>677</v>
      </c>
      <c r="G174" t="s">
        <v>680</v>
      </c>
      <c r="H174" t="s">
        <v>72</v>
      </c>
      <c r="I174" t="b">
        <f t="shared" si="2"/>
        <v>1</v>
      </c>
      <c r="J174">
        <v>0</v>
      </c>
      <c r="K174">
        <v>1.9736841320991499E-2</v>
      </c>
      <c r="L174">
        <v>3.9473682641982998E-2</v>
      </c>
      <c r="M174">
        <v>1.66664775460958E-2</v>
      </c>
      <c r="N174">
        <v>6.0100000351667397E-2</v>
      </c>
      <c r="O174">
        <v>0</v>
      </c>
      <c r="P174">
        <v>1.5</v>
      </c>
      <c r="Q174">
        <v>0.50379550457000699</v>
      </c>
      <c r="R174">
        <v>0.57283145189285301</v>
      </c>
      <c r="S174">
        <v>0.5</v>
      </c>
      <c r="T174">
        <v>1</v>
      </c>
      <c r="U174" t="s">
        <v>678</v>
      </c>
      <c r="V174" t="s">
        <v>39</v>
      </c>
      <c r="W174">
        <v>0.74598169524061897</v>
      </c>
      <c r="X174">
        <v>5</v>
      </c>
      <c r="Y174">
        <v>4</v>
      </c>
      <c r="Z174" t="s">
        <v>677</v>
      </c>
      <c r="AA174" t="s">
        <v>680</v>
      </c>
      <c r="AB174">
        <v>0.73174340000000004</v>
      </c>
      <c r="AC174">
        <v>0.70554024000000004</v>
      </c>
      <c r="AD174">
        <v>0.7186418</v>
      </c>
      <c r="AE174">
        <v>0.20821120000000001</v>
      </c>
      <c r="AF174">
        <v>0.17999973999999999</v>
      </c>
      <c r="AG174">
        <v>0.19410548</v>
      </c>
      <c r="AJ174" t="s">
        <v>61</v>
      </c>
    </row>
    <row r="175" spans="1:36" x14ac:dyDescent="0.2">
      <c r="A175">
        <v>173</v>
      </c>
      <c r="B175" t="s">
        <v>676</v>
      </c>
      <c r="C175" t="s">
        <v>681</v>
      </c>
      <c r="E175" t="s">
        <v>46</v>
      </c>
      <c r="I175" t="b">
        <f t="shared" si="2"/>
        <v>1</v>
      </c>
      <c r="J175">
        <v>2.9268288984894801E-2</v>
      </c>
      <c r="K175">
        <v>0</v>
      </c>
      <c r="M175">
        <v>0.102943100035191</v>
      </c>
      <c r="N175">
        <v>1.2099999934434899E-2</v>
      </c>
      <c r="O175">
        <v>6</v>
      </c>
      <c r="P175">
        <v>0</v>
      </c>
      <c r="W175">
        <v>1.3549743896933699</v>
      </c>
      <c r="X175">
        <v>5</v>
      </c>
      <c r="Y175">
        <v>4</v>
      </c>
      <c r="Z175" t="s">
        <v>677</v>
      </c>
      <c r="AA175" t="s">
        <v>682</v>
      </c>
      <c r="AB175">
        <v>0.73174340000000004</v>
      </c>
      <c r="AC175">
        <v>0.78560839999999998</v>
      </c>
      <c r="AD175">
        <v>0.75867593</v>
      </c>
      <c r="AE175">
        <v>0.20821120000000001</v>
      </c>
      <c r="AF175">
        <v>0.53590530000000003</v>
      </c>
      <c r="AG175">
        <v>0.37205823999999998</v>
      </c>
      <c r="AJ175" t="s">
        <v>40</v>
      </c>
    </row>
    <row r="176" spans="1:36" x14ac:dyDescent="0.2">
      <c r="A176">
        <v>174</v>
      </c>
      <c r="B176" t="s">
        <v>683</v>
      </c>
      <c r="C176" t="s">
        <v>684</v>
      </c>
      <c r="E176" t="s">
        <v>35</v>
      </c>
      <c r="F176" t="s">
        <v>685</v>
      </c>
      <c r="G176" t="s">
        <v>686</v>
      </c>
      <c r="I176" t="b">
        <f t="shared" si="2"/>
        <v>0</v>
      </c>
      <c r="J176">
        <v>3.7209302186965901E-2</v>
      </c>
      <c r="K176">
        <v>1.23068951070309E-2</v>
      </c>
      <c r="L176">
        <v>3.3333335071802098E-2</v>
      </c>
      <c r="M176">
        <v>0.390934407711029</v>
      </c>
      <c r="N176">
        <v>0.13313598930835699</v>
      </c>
      <c r="O176">
        <v>8</v>
      </c>
      <c r="P176">
        <v>1.10762047767639</v>
      </c>
      <c r="Q176">
        <v>0.44697305560112</v>
      </c>
      <c r="R176">
        <v>0.56862372159957897</v>
      </c>
      <c r="S176">
        <v>1</v>
      </c>
      <c r="T176">
        <v>0.36920684576034501</v>
      </c>
      <c r="U176" t="s">
        <v>39</v>
      </c>
      <c r="V176" t="s">
        <v>687</v>
      </c>
      <c r="W176">
        <v>1.0086990373473801</v>
      </c>
      <c r="X176">
        <v>6</v>
      </c>
      <c r="Y176">
        <v>4</v>
      </c>
      <c r="Z176" t="s">
        <v>685</v>
      </c>
      <c r="AA176" t="s">
        <v>688</v>
      </c>
      <c r="AB176">
        <v>0.71423080000000005</v>
      </c>
      <c r="AC176">
        <v>0.78306299999999995</v>
      </c>
      <c r="AD176">
        <v>0.74864686000000003</v>
      </c>
      <c r="AE176">
        <v>0.46361839999999999</v>
      </c>
      <c r="AF176">
        <v>6.737667E-2</v>
      </c>
      <c r="AG176">
        <v>0.26549753999999998</v>
      </c>
      <c r="AJ176" t="s">
        <v>44</v>
      </c>
    </row>
    <row r="177" spans="1:36" x14ac:dyDescent="0.2">
      <c r="A177">
        <v>175</v>
      </c>
      <c r="B177" t="s">
        <v>683</v>
      </c>
      <c r="C177" t="s">
        <v>689</v>
      </c>
      <c r="E177" t="s">
        <v>42</v>
      </c>
      <c r="F177" t="s">
        <v>685</v>
      </c>
      <c r="G177" t="s">
        <v>690</v>
      </c>
      <c r="I177" t="b">
        <f t="shared" si="2"/>
        <v>0</v>
      </c>
      <c r="J177">
        <v>0</v>
      </c>
      <c r="K177">
        <v>2.2716861218214E-2</v>
      </c>
      <c r="L177">
        <v>3.3333335071802098E-2</v>
      </c>
      <c r="M177">
        <v>7.5658582150936099E-2</v>
      </c>
      <c r="N177">
        <v>0.136573761701584</v>
      </c>
      <c r="O177">
        <v>0</v>
      </c>
      <c r="P177">
        <v>2.0445175170898402</v>
      </c>
      <c r="Q177">
        <v>0.44697305560112</v>
      </c>
      <c r="R177">
        <v>0.35836344957351701</v>
      </c>
      <c r="S177">
        <v>1</v>
      </c>
      <c r="T177">
        <v>0.68150579929351796</v>
      </c>
      <c r="U177" t="s">
        <v>39</v>
      </c>
      <c r="V177" t="s">
        <v>691</v>
      </c>
      <c r="W177">
        <v>1.1518270651364599</v>
      </c>
      <c r="X177">
        <v>6</v>
      </c>
      <c r="Y177">
        <v>6</v>
      </c>
      <c r="Z177" t="s">
        <v>685</v>
      </c>
      <c r="AA177" t="s">
        <v>690</v>
      </c>
      <c r="AB177">
        <v>0.71423080000000005</v>
      </c>
      <c r="AC177">
        <v>0.56731725</v>
      </c>
      <c r="AD177">
        <v>0.64077399999999995</v>
      </c>
      <c r="AE177">
        <v>0.46361839999999999</v>
      </c>
      <c r="AF177">
        <v>0.20484553</v>
      </c>
      <c r="AG177">
        <v>0.33423196999999999</v>
      </c>
      <c r="AI177" t="s">
        <v>569</v>
      </c>
      <c r="AJ177" t="s">
        <v>48</v>
      </c>
    </row>
    <row r="178" spans="1:36" x14ac:dyDescent="0.2">
      <c r="A178">
        <v>176</v>
      </c>
      <c r="B178" t="s">
        <v>683</v>
      </c>
      <c r="C178" t="s">
        <v>692</v>
      </c>
      <c r="E178" t="s">
        <v>46</v>
      </c>
      <c r="I178" t="b">
        <f t="shared" si="2"/>
        <v>0</v>
      </c>
      <c r="J178">
        <v>4.1860468685626998E-2</v>
      </c>
      <c r="K178">
        <v>0</v>
      </c>
      <c r="M178">
        <v>0.243008673191071</v>
      </c>
      <c r="N178">
        <v>2.5400001555681201E-2</v>
      </c>
      <c r="O178">
        <v>9</v>
      </c>
      <c r="P178">
        <v>0</v>
      </c>
      <c r="W178">
        <v>1.24329547485786</v>
      </c>
      <c r="X178">
        <v>6</v>
      </c>
      <c r="Y178">
        <v>5</v>
      </c>
      <c r="Z178" t="s">
        <v>685</v>
      </c>
      <c r="AA178" t="s">
        <v>693</v>
      </c>
      <c r="AB178">
        <v>0.71423080000000005</v>
      </c>
      <c r="AC178">
        <v>0.68457840000000003</v>
      </c>
      <c r="AD178">
        <v>0.69940460000000004</v>
      </c>
      <c r="AE178">
        <v>0.46361839999999999</v>
      </c>
      <c r="AF178">
        <v>4.7602470000000001E-2</v>
      </c>
      <c r="AG178">
        <v>0.25561043999999999</v>
      </c>
      <c r="AJ178" t="s">
        <v>61</v>
      </c>
    </row>
    <row r="179" spans="1:36" x14ac:dyDescent="0.2">
      <c r="A179">
        <v>177</v>
      </c>
      <c r="B179" t="s">
        <v>694</v>
      </c>
      <c r="C179" t="s">
        <v>250</v>
      </c>
      <c r="E179" t="s">
        <v>35</v>
      </c>
      <c r="F179" t="s">
        <v>695</v>
      </c>
      <c r="G179" t="s">
        <v>696</v>
      </c>
      <c r="I179" t="b">
        <f t="shared" si="2"/>
        <v>0</v>
      </c>
      <c r="J179">
        <v>0.147651001811028</v>
      </c>
      <c r="K179">
        <v>1.1012173257768199E-2</v>
      </c>
      <c r="L179">
        <v>9.0090088546276106E-2</v>
      </c>
      <c r="M179">
        <v>0.33582073450088501</v>
      </c>
      <c r="N179">
        <v>4.4126879423856701E-2</v>
      </c>
      <c r="O179">
        <v>22</v>
      </c>
      <c r="P179">
        <v>1.22235131263733</v>
      </c>
      <c r="Q179">
        <v>0.46649140119552601</v>
      </c>
      <c r="R179">
        <v>0.40252178907394398</v>
      </c>
      <c r="S179">
        <v>0.38632652163505599</v>
      </c>
      <c r="T179">
        <v>0.31640365719795199</v>
      </c>
      <c r="U179" t="s">
        <v>697</v>
      </c>
      <c r="V179" t="s">
        <v>698</v>
      </c>
      <c r="W179">
        <v>1.1497357225421301</v>
      </c>
      <c r="X179">
        <v>6</v>
      </c>
      <c r="Y179">
        <v>4</v>
      </c>
      <c r="Z179" t="s">
        <v>699</v>
      </c>
      <c r="AA179" t="s">
        <v>251</v>
      </c>
      <c r="AB179">
        <v>0.71597356000000001</v>
      </c>
      <c r="AC179">
        <v>0.60858909999999999</v>
      </c>
      <c r="AD179">
        <v>0.66228133</v>
      </c>
      <c r="AE179">
        <v>0.20806131999999999</v>
      </c>
      <c r="AF179">
        <v>0.17297293</v>
      </c>
      <c r="AG179">
        <v>0.19051713000000001</v>
      </c>
      <c r="AJ179" t="s">
        <v>44</v>
      </c>
    </row>
    <row r="180" spans="1:36" x14ac:dyDescent="0.2">
      <c r="A180">
        <v>178</v>
      </c>
      <c r="B180" t="s">
        <v>694</v>
      </c>
      <c r="C180" t="s">
        <v>496</v>
      </c>
      <c r="E180" t="s">
        <v>42</v>
      </c>
      <c r="F180" t="s">
        <v>699</v>
      </c>
      <c r="G180" t="s">
        <v>498</v>
      </c>
      <c r="I180" t="b">
        <f t="shared" si="2"/>
        <v>0</v>
      </c>
      <c r="J180">
        <v>0</v>
      </c>
      <c r="K180">
        <v>1.1252229101955899E-2</v>
      </c>
      <c r="L180">
        <v>2.9126213863492002E-2</v>
      </c>
      <c r="M180">
        <v>2.66870576888323E-2</v>
      </c>
      <c r="N180">
        <v>0.10971673578023899</v>
      </c>
      <c r="O180">
        <v>0</v>
      </c>
      <c r="P180">
        <v>1.15897953510284</v>
      </c>
      <c r="Q180">
        <v>0.26016259193420399</v>
      </c>
      <c r="R180">
        <v>0.56852078437805198</v>
      </c>
      <c r="S180">
        <v>0.38632652163505599</v>
      </c>
      <c r="T180">
        <v>1</v>
      </c>
      <c r="U180" t="s">
        <v>700</v>
      </c>
      <c r="V180" t="s">
        <v>39</v>
      </c>
      <c r="W180">
        <v>1.3263068664452899</v>
      </c>
      <c r="X180">
        <v>6</v>
      </c>
      <c r="Y180">
        <v>4</v>
      </c>
      <c r="Z180" t="s">
        <v>699</v>
      </c>
      <c r="AA180" t="s">
        <v>498</v>
      </c>
      <c r="AB180">
        <v>0.71597356000000001</v>
      </c>
      <c r="AC180">
        <v>0.84596760000000004</v>
      </c>
      <c r="AD180">
        <v>0.78097059999999996</v>
      </c>
      <c r="AE180">
        <v>0.20806131999999999</v>
      </c>
      <c r="AF180">
        <v>0.49032252999999998</v>
      </c>
      <c r="AG180">
        <v>0.34919192999999998</v>
      </c>
      <c r="AJ180" t="s">
        <v>48</v>
      </c>
    </row>
    <row r="181" spans="1:36" x14ac:dyDescent="0.2">
      <c r="A181">
        <v>179</v>
      </c>
      <c r="B181" t="s">
        <v>694</v>
      </c>
      <c r="C181" t="s">
        <v>701</v>
      </c>
      <c r="E181" t="s">
        <v>46</v>
      </c>
      <c r="I181" t="b">
        <f t="shared" si="2"/>
        <v>0</v>
      </c>
      <c r="J181">
        <v>3.3557053655385999E-2</v>
      </c>
      <c r="K181">
        <v>0</v>
      </c>
      <c r="M181">
        <v>8.5013106465339702E-2</v>
      </c>
      <c r="N181">
        <v>3.7777731195092002E-3</v>
      </c>
      <c r="O181">
        <v>5</v>
      </c>
      <c r="P181">
        <v>0</v>
      </c>
      <c r="W181">
        <v>0.98551110349411197</v>
      </c>
      <c r="X181">
        <v>6</v>
      </c>
      <c r="Y181">
        <v>5</v>
      </c>
      <c r="Z181" t="s">
        <v>699</v>
      </c>
      <c r="AA181" t="s">
        <v>702</v>
      </c>
      <c r="AB181">
        <v>0.71597356000000001</v>
      </c>
      <c r="AC181">
        <v>0.75641440000000004</v>
      </c>
      <c r="AD181">
        <v>0.73619400000000002</v>
      </c>
      <c r="AE181">
        <v>0.20806131999999999</v>
      </c>
      <c r="AF181">
        <v>0.78858300000000003</v>
      </c>
      <c r="AG181">
        <v>0.49832216000000001</v>
      </c>
      <c r="AJ181" t="s">
        <v>61</v>
      </c>
    </row>
    <row r="182" spans="1:36" x14ac:dyDescent="0.2">
      <c r="A182">
        <v>180</v>
      </c>
      <c r="B182" t="s">
        <v>703</v>
      </c>
      <c r="C182" t="s">
        <v>193</v>
      </c>
      <c r="E182" t="s">
        <v>35</v>
      </c>
      <c r="F182" t="s">
        <v>704</v>
      </c>
      <c r="G182" t="s">
        <v>195</v>
      </c>
      <c r="I182" t="b">
        <f t="shared" si="2"/>
        <v>0</v>
      </c>
      <c r="J182">
        <v>1.9867554306983899E-2</v>
      </c>
      <c r="K182">
        <v>9.9277691915630999E-3</v>
      </c>
      <c r="L182">
        <v>3.2608695328235598E-2</v>
      </c>
      <c r="M182">
        <v>0.27605703473091098</v>
      </c>
      <c r="N182">
        <v>9.3162178993225098E-2</v>
      </c>
      <c r="O182">
        <v>3</v>
      </c>
      <c r="P182">
        <v>0.91335469484329201</v>
      </c>
      <c r="Q182">
        <v>0.45260789990425099</v>
      </c>
      <c r="R182">
        <v>0.41621613502502403</v>
      </c>
      <c r="S182">
        <v>0.68265908956527699</v>
      </c>
      <c r="T182">
        <v>0.33103165030479398</v>
      </c>
      <c r="U182" t="s">
        <v>705</v>
      </c>
      <c r="V182" t="s">
        <v>197</v>
      </c>
      <c r="W182">
        <v>1.33275814282014</v>
      </c>
      <c r="X182">
        <v>4</v>
      </c>
      <c r="Y182">
        <v>5</v>
      </c>
      <c r="Z182" t="s">
        <v>704</v>
      </c>
      <c r="AA182" t="s">
        <v>199</v>
      </c>
      <c r="AB182">
        <v>0.75442929999999997</v>
      </c>
      <c r="AC182">
        <v>0.74463080000000004</v>
      </c>
      <c r="AD182">
        <v>0.74953009999999998</v>
      </c>
      <c r="AE182">
        <v>0.26293070000000002</v>
      </c>
      <c r="AF182">
        <v>8.8426850000000001E-2</v>
      </c>
      <c r="AG182">
        <v>0.17567877000000001</v>
      </c>
      <c r="AJ182" t="s">
        <v>44</v>
      </c>
    </row>
    <row r="183" spans="1:36" x14ac:dyDescent="0.2">
      <c r="A183">
        <v>181</v>
      </c>
      <c r="B183" t="s">
        <v>703</v>
      </c>
      <c r="C183" t="s">
        <v>706</v>
      </c>
      <c r="E183" t="s">
        <v>42</v>
      </c>
      <c r="F183" t="s">
        <v>704</v>
      </c>
      <c r="G183" t="s">
        <v>707</v>
      </c>
      <c r="I183" t="b">
        <f t="shared" si="2"/>
        <v>0</v>
      </c>
      <c r="J183">
        <v>0</v>
      </c>
      <c r="K183">
        <v>1.48404156789184E-2</v>
      </c>
      <c r="L183">
        <v>4.34782616794109E-2</v>
      </c>
      <c r="M183">
        <v>3.25950942933559E-2</v>
      </c>
      <c r="N183">
        <v>2.4340046569704999E-2</v>
      </c>
      <c r="O183">
        <v>0</v>
      </c>
      <c r="P183">
        <v>1.36531817913055</v>
      </c>
      <c r="Q183">
        <v>0.45260789990425099</v>
      </c>
      <c r="R183">
        <v>0.39546835422515902</v>
      </c>
      <c r="S183">
        <v>0.68265908956527699</v>
      </c>
      <c r="T183">
        <v>0.5</v>
      </c>
      <c r="U183" t="s">
        <v>705</v>
      </c>
      <c r="V183" t="s">
        <v>708</v>
      </c>
      <c r="W183">
        <v>0.60728146768704205</v>
      </c>
      <c r="X183">
        <v>4</v>
      </c>
      <c r="Y183">
        <v>3</v>
      </c>
      <c r="Z183" t="s">
        <v>704</v>
      </c>
      <c r="AA183" t="s">
        <v>709</v>
      </c>
      <c r="AB183">
        <v>0.75442929999999997</v>
      </c>
      <c r="AC183">
        <v>0.78652537</v>
      </c>
      <c r="AD183">
        <v>0.77047730000000003</v>
      </c>
      <c r="AE183">
        <v>0.26293070000000002</v>
      </c>
      <c r="AF183">
        <v>0.68508409999999997</v>
      </c>
      <c r="AG183">
        <v>0.47400740000000002</v>
      </c>
      <c r="AJ183" t="s">
        <v>48</v>
      </c>
    </row>
    <row r="184" spans="1:36" x14ac:dyDescent="0.2">
      <c r="A184">
        <v>182</v>
      </c>
      <c r="B184" t="s">
        <v>703</v>
      </c>
      <c r="C184" t="s">
        <v>710</v>
      </c>
      <c r="E184" t="s">
        <v>46</v>
      </c>
      <c r="I184" t="b">
        <f t="shared" si="2"/>
        <v>0</v>
      </c>
      <c r="J184">
        <v>2.6490058749914201E-2</v>
      </c>
      <c r="K184">
        <v>0</v>
      </c>
      <c r="M184">
        <v>1.92920714616776E-2</v>
      </c>
      <c r="N184">
        <v>6.5990379080175998E-3</v>
      </c>
      <c r="O184">
        <v>4</v>
      </c>
      <c r="P184">
        <v>0</v>
      </c>
      <c r="W184">
        <v>1.12488347311577</v>
      </c>
      <c r="X184">
        <v>4</v>
      </c>
      <c r="Y184">
        <v>3</v>
      </c>
      <c r="Z184" t="s">
        <v>704</v>
      </c>
      <c r="AA184" t="s">
        <v>711</v>
      </c>
      <c r="AB184">
        <v>0.75442929999999997</v>
      </c>
      <c r="AC184">
        <v>0.79744389999999998</v>
      </c>
      <c r="AD184">
        <v>0.77593659999999998</v>
      </c>
      <c r="AE184">
        <v>0.26293070000000002</v>
      </c>
      <c r="AF184">
        <v>0.35340519999999997</v>
      </c>
      <c r="AG184">
        <v>0.30816792999999998</v>
      </c>
      <c r="AH184" t="s">
        <v>72</v>
      </c>
      <c r="AI184" t="s">
        <v>76</v>
      </c>
      <c r="AJ184" t="s">
        <v>61</v>
      </c>
    </row>
    <row r="185" spans="1:36" x14ac:dyDescent="0.2">
      <c r="A185">
        <v>183</v>
      </c>
      <c r="B185" t="s">
        <v>712</v>
      </c>
      <c r="C185" t="s">
        <v>713</v>
      </c>
      <c r="E185" t="s">
        <v>35</v>
      </c>
      <c r="F185" t="s">
        <v>714</v>
      </c>
      <c r="G185" t="s">
        <v>715</v>
      </c>
      <c r="I185" t="b">
        <f t="shared" si="2"/>
        <v>1</v>
      </c>
      <c r="J185">
        <v>1.59574467688798E-2</v>
      </c>
      <c r="K185">
        <v>2.7379384264349899E-2</v>
      </c>
      <c r="L185">
        <v>0.10679611563682601</v>
      </c>
      <c r="M185">
        <v>0.29243919253349299</v>
      </c>
      <c r="N185">
        <v>0.123647548258305</v>
      </c>
      <c r="O185">
        <v>3</v>
      </c>
      <c r="P185">
        <v>2.8200767040252699</v>
      </c>
      <c r="Q185">
        <v>0.49772608280181901</v>
      </c>
      <c r="R185">
        <v>0.36347937583923301</v>
      </c>
      <c r="S185">
        <v>1</v>
      </c>
      <c r="T185">
        <v>0.25637060403823902</v>
      </c>
      <c r="U185" t="s">
        <v>39</v>
      </c>
      <c r="V185" t="s">
        <v>716</v>
      </c>
      <c r="W185">
        <v>1.2855144951947699</v>
      </c>
      <c r="X185">
        <v>6</v>
      </c>
      <c r="Y185">
        <v>7</v>
      </c>
      <c r="Z185" t="s">
        <v>714</v>
      </c>
      <c r="AA185" t="s">
        <v>717</v>
      </c>
      <c r="AB185">
        <v>0.80626209999999998</v>
      </c>
      <c r="AC185">
        <v>0.70211846</v>
      </c>
      <c r="AD185">
        <v>0.75419027000000005</v>
      </c>
      <c r="AE185">
        <v>8.3157844999999994E-2</v>
      </c>
      <c r="AF185">
        <v>5.7210509999999999E-2</v>
      </c>
      <c r="AG185">
        <v>7.0184179999999999E-2</v>
      </c>
      <c r="AJ185" t="s">
        <v>40</v>
      </c>
    </row>
    <row r="186" spans="1:36" x14ac:dyDescent="0.2">
      <c r="A186">
        <v>184</v>
      </c>
      <c r="B186" t="s">
        <v>712</v>
      </c>
      <c r="C186" t="s">
        <v>544</v>
      </c>
      <c r="E186" t="s">
        <v>42</v>
      </c>
      <c r="F186" t="s">
        <v>714</v>
      </c>
      <c r="G186" t="s">
        <v>545</v>
      </c>
      <c r="I186" t="b">
        <f t="shared" si="2"/>
        <v>1</v>
      </c>
      <c r="J186">
        <v>0</v>
      </c>
      <c r="K186">
        <v>3.9919201284646898E-2</v>
      </c>
      <c r="L186">
        <v>7.7669903635978699E-2</v>
      </c>
      <c r="M186">
        <v>8.6927833035588004E-3</v>
      </c>
      <c r="N186">
        <v>7.0977836847305298E-2</v>
      </c>
      <c r="O186">
        <v>0</v>
      </c>
      <c r="P186">
        <v>4.1116776466369602</v>
      </c>
      <c r="Q186">
        <v>0.49772608280181901</v>
      </c>
      <c r="R186">
        <v>0.34682574868202198</v>
      </c>
      <c r="S186">
        <v>1</v>
      </c>
      <c r="T186">
        <v>0.51395970582962003</v>
      </c>
      <c r="U186" t="s">
        <v>39</v>
      </c>
      <c r="V186" t="s">
        <v>547</v>
      </c>
      <c r="W186">
        <v>1.1973501964370901</v>
      </c>
      <c r="X186">
        <v>6</v>
      </c>
      <c r="Y186">
        <v>7</v>
      </c>
      <c r="Z186" t="s">
        <v>714</v>
      </c>
      <c r="AA186" t="s">
        <v>545</v>
      </c>
      <c r="AB186">
        <v>0.80626209999999998</v>
      </c>
      <c r="AC186">
        <v>0.75450640000000002</v>
      </c>
      <c r="AD186">
        <v>0.78038423999999995</v>
      </c>
      <c r="AE186">
        <v>8.3157844999999994E-2</v>
      </c>
      <c r="AF186">
        <v>0.36404170000000002</v>
      </c>
      <c r="AG186">
        <v>0.22359976000000001</v>
      </c>
      <c r="AJ186" t="s">
        <v>44</v>
      </c>
    </row>
    <row r="187" spans="1:36" x14ac:dyDescent="0.2">
      <c r="A187">
        <v>185</v>
      </c>
      <c r="B187" t="s">
        <v>712</v>
      </c>
      <c r="C187" t="s">
        <v>718</v>
      </c>
      <c r="D187" t="s">
        <v>72</v>
      </c>
      <c r="E187" t="s">
        <v>46</v>
      </c>
      <c r="I187" t="b">
        <f t="shared" si="2"/>
        <v>1</v>
      </c>
      <c r="J187">
        <v>4.78723421692848E-2</v>
      </c>
      <c r="K187">
        <v>0</v>
      </c>
      <c r="M187">
        <v>6.6915161907672799E-2</v>
      </c>
      <c r="N187">
        <v>5.5380184203386003E-3</v>
      </c>
      <c r="O187">
        <v>9</v>
      </c>
      <c r="P187">
        <v>0</v>
      </c>
      <c r="W187">
        <v>1.4545177557706099</v>
      </c>
      <c r="X187">
        <v>6</v>
      </c>
      <c r="Y187">
        <v>5</v>
      </c>
      <c r="Z187" t="s">
        <v>714</v>
      </c>
      <c r="AA187" t="s">
        <v>719</v>
      </c>
      <c r="AB187">
        <v>0.80626209999999998</v>
      </c>
      <c r="AC187">
        <v>0.69549214999999998</v>
      </c>
      <c r="AD187">
        <v>0.75087714000000005</v>
      </c>
      <c r="AE187">
        <v>8.3157844999999994E-2</v>
      </c>
      <c r="AF187">
        <v>2.3742561999999998E-2</v>
      </c>
      <c r="AG187">
        <v>5.3450204000000001E-2</v>
      </c>
      <c r="AJ187" t="s">
        <v>48</v>
      </c>
    </row>
    <row r="188" spans="1:36" x14ac:dyDescent="0.2">
      <c r="A188">
        <v>186</v>
      </c>
      <c r="B188" t="s">
        <v>720</v>
      </c>
      <c r="C188" t="s">
        <v>721</v>
      </c>
      <c r="E188" t="s">
        <v>35</v>
      </c>
      <c r="F188" t="s">
        <v>722</v>
      </c>
      <c r="G188" t="s">
        <v>723</v>
      </c>
      <c r="I188" t="b">
        <f t="shared" si="2"/>
        <v>1</v>
      </c>
      <c r="J188">
        <v>4.7210302203893703E-2</v>
      </c>
      <c r="K188">
        <v>2.66666673123837E-2</v>
      </c>
      <c r="L188">
        <v>5.3333334624767303E-2</v>
      </c>
      <c r="M188">
        <v>0.50616765022277799</v>
      </c>
      <c r="N188">
        <v>0.29405000805854797</v>
      </c>
      <c r="O188">
        <v>11</v>
      </c>
      <c r="P188">
        <v>2</v>
      </c>
      <c r="Q188">
        <v>0.63412553071975697</v>
      </c>
      <c r="R188">
        <v>0.65515810251235995</v>
      </c>
      <c r="S188">
        <v>1</v>
      </c>
      <c r="T188">
        <v>0.5</v>
      </c>
      <c r="U188" t="s">
        <v>39</v>
      </c>
      <c r="V188" t="s">
        <v>724</v>
      </c>
      <c r="W188">
        <v>0.59012141113972805</v>
      </c>
      <c r="X188">
        <v>6</v>
      </c>
      <c r="Y188">
        <v>5</v>
      </c>
      <c r="Z188" t="s">
        <v>722</v>
      </c>
      <c r="AA188" t="s">
        <v>723</v>
      </c>
      <c r="AB188">
        <v>0.78879136000000005</v>
      </c>
      <c r="AC188">
        <v>0.82719684000000004</v>
      </c>
      <c r="AD188">
        <v>0.80799410000000005</v>
      </c>
      <c r="AE188">
        <v>0.14649429999999999</v>
      </c>
      <c r="AF188">
        <v>0.29374830000000002</v>
      </c>
      <c r="AG188">
        <v>0.22012129999999999</v>
      </c>
      <c r="AH188" t="s">
        <v>72</v>
      </c>
      <c r="AI188" t="s">
        <v>76</v>
      </c>
      <c r="AJ188" t="s">
        <v>61</v>
      </c>
    </row>
    <row r="189" spans="1:36" x14ac:dyDescent="0.2">
      <c r="A189">
        <v>187</v>
      </c>
      <c r="B189" t="s">
        <v>720</v>
      </c>
      <c r="C189" t="s">
        <v>725</v>
      </c>
      <c r="E189" t="s">
        <v>42</v>
      </c>
      <c r="F189" t="s">
        <v>722</v>
      </c>
      <c r="G189" t="s">
        <v>726</v>
      </c>
      <c r="I189" t="b">
        <f t="shared" si="2"/>
        <v>1</v>
      </c>
      <c r="J189">
        <v>0</v>
      </c>
      <c r="K189">
        <v>7.9999998211860601E-2</v>
      </c>
      <c r="L189">
        <v>7.9999998211860601E-2</v>
      </c>
      <c r="M189">
        <v>6.2511913478374398E-2</v>
      </c>
      <c r="N189">
        <v>0.102099999785423</v>
      </c>
      <c r="O189">
        <v>0</v>
      </c>
      <c r="P189">
        <v>6</v>
      </c>
      <c r="Q189">
        <v>0.63412553071975697</v>
      </c>
      <c r="R189">
        <v>0.41819030046463002</v>
      </c>
      <c r="S189">
        <v>1</v>
      </c>
      <c r="T189">
        <v>1</v>
      </c>
      <c r="U189" t="s">
        <v>39</v>
      </c>
      <c r="V189" t="s">
        <v>39</v>
      </c>
      <c r="W189">
        <v>0.68530806282323498</v>
      </c>
      <c r="X189">
        <v>6</v>
      </c>
      <c r="Y189">
        <v>5</v>
      </c>
      <c r="Z189" t="s">
        <v>722</v>
      </c>
      <c r="AA189" t="s">
        <v>726</v>
      </c>
      <c r="AB189">
        <v>0.78879136000000005</v>
      </c>
      <c r="AC189">
        <v>0.84193810000000002</v>
      </c>
      <c r="AD189">
        <v>0.81536470000000005</v>
      </c>
      <c r="AE189">
        <v>0.14649429999999999</v>
      </c>
      <c r="AF189">
        <v>0.22770029999999999</v>
      </c>
      <c r="AG189">
        <v>0.18709729999999999</v>
      </c>
      <c r="AJ189" t="s">
        <v>40</v>
      </c>
    </row>
    <row r="190" spans="1:36" x14ac:dyDescent="0.2">
      <c r="A190">
        <v>188</v>
      </c>
      <c r="B190" t="s">
        <v>720</v>
      </c>
      <c r="C190" t="s">
        <v>307</v>
      </c>
      <c r="D190" t="s">
        <v>72</v>
      </c>
      <c r="E190" t="s">
        <v>46</v>
      </c>
      <c r="I190" t="b">
        <f t="shared" si="2"/>
        <v>1</v>
      </c>
      <c r="J190">
        <v>0.15021459758281699</v>
      </c>
      <c r="K190">
        <v>0</v>
      </c>
      <c r="M190">
        <v>0.238620415329933</v>
      </c>
      <c r="N190">
        <v>1.3399999588727901E-2</v>
      </c>
      <c r="O190">
        <v>35</v>
      </c>
      <c r="P190">
        <v>0</v>
      </c>
      <c r="W190">
        <v>0.98901822600084599</v>
      </c>
      <c r="X190">
        <v>6</v>
      </c>
      <c r="Y190">
        <v>4</v>
      </c>
      <c r="Z190" t="s">
        <v>722</v>
      </c>
      <c r="AA190" t="s">
        <v>308</v>
      </c>
      <c r="AB190">
        <v>0.78879136000000005</v>
      </c>
      <c r="AC190">
        <v>0.8341423</v>
      </c>
      <c r="AD190">
        <v>0.81146680000000004</v>
      </c>
      <c r="AE190">
        <v>0.14649429999999999</v>
      </c>
      <c r="AF190">
        <v>0.22804466000000001</v>
      </c>
      <c r="AG190">
        <v>0.18726947999999999</v>
      </c>
      <c r="AJ190" t="s">
        <v>44</v>
      </c>
    </row>
    <row r="191" spans="1:36" x14ac:dyDescent="0.2">
      <c r="A191">
        <v>189</v>
      </c>
      <c r="B191" t="s">
        <v>727</v>
      </c>
      <c r="C191" t="s">
        <v>728</v>
      </c>
      <c r="E191" t="s">
        <v>35</v>
      </c>
      <c r="F191" t="s">
        <v>729</v>
      </c>
      <c r="G191" t="s">
        <v>730</v>
      </c>
      <c r="I191" t="b">
        <f t="shared" si="2"/>
        <v>0</v>
      </c>
      <c r="J191">
        <v>2.3952102288603699E-2</v>
      </c>
      <c r="K191">
        <v>2.6715736836194898E-2</v>
      </c>
      <c r="L191">
        <v>7.3394492268562303E-2</v>
      </c>
      <c r="M191">
        <v>0.18586774170398701</v>
      </c>
      <c r="N191">
        <v>0.19310301542282099</v>
      </c>
      <c r="O191">
        <v>4</v>
      </c>
      <c r="P191">
        <v>2.91201543807983</v>
      </c>
      <c r="Q191">
        <v>0.322683215141296</v>
      </c>
      <c r="R191">
        <v>0.48786827921867398</v>
      </c>
      <c r="S191">
        <v>0.36400192975997903</v>
      </c>
      <c r="T191">
        <v>1</v>
      </c>
      <c r="U191" t="s">
        <v>731</v>
      </c>
      <c r="V191" t="s">
        <v>39</v>
      </c>
      <c r="W191">
        <v>1.2940214451001799</v>
      </c>
      <c r="X191">
        <v>6</v>
      </c>
      <c r="Y191">
        <v>7</v>
      </c>
      <c r="Z191" t="s">
        <v>732</v>
      </c>
      <c r="AA191" t="s">
        <v>730</v>
      </c>
      <c r="AB191">
        <v>0.64933629999999998</v>
      </c>
      <c r="AC191">
        <v>0.76907210000000004</v>
      </c>
      <c r="AD191">
        <v>0.70920419999999995</v>
      </c>
      <c r="AE191">
        <v>4.8217030000000001E-2</v>
      </c>
      <c r="AF191">
        <v>4.6734363000000001E-2</v>
      </c>
      <c r="AG191">
        <v>4.7475695999999998E-2</v>
      </c>
      <c r="AJ191" t="s">
        <v>48</v>
      </c>
    </row>
    <row r="192" spans="1:36" x14ac:dyDescent="0.2">
      <c r="A192">
        <v>190</v>
      </c>
      <c r="B192" t="s">
        <v>727</v>
      </c>
      <c r="C192" t="s">
        <v>733</v>
      </c>
      <c r="E192" t="s">
        <v>42</v>
      </c>
      <c r="F192" t="s">
        <v>729</v>
      </c>
      <c r="G192" t="s">
        <v>276</v>
      </c>
      <c r="I192" t="b">
        <f t="shared" si="2"/>
        <v>0</v>
      </c>
      <c r="J192">
        <v>0</v>
      </c>
      <c r="K192">
        <v>1.6697335988283199E-2</v>
      </c>
      <c r="L192">
        <v>4.5871559530496597E-2</v>
      </c>
      <c r="M192">
        <v>2.7867045253515198E-2</v>
      </c>
      <c r="N192">
        <v>1.4305274933576599E-2</v>
      </c>
      <c r="O192">
        <v>0</v>
      </c>
      <c r="P192">
        <v>1.8200097084045399</v>
      </c>
      <c r="Q192">
        <v>0.322683215141296</v>
      </c>
      <c r="R192">
        <v>0.23730988800525701</v>
      </c>
      <c r="S192">
        <v>0.36400192975997903</v>
      </c>
      <c r="T192">
        <v>1</v>
      </c>
      <c r="U192" t="s">
        <v>731</v>
      </c>
      <c r="V192" t="s">
        <v>39</v>
      </c>
      <c r="W192">
        <v>1.4953662076809</v>
      </c>
      <c r="X192">
        <v>6</v>
      </c>
      <c r="Y192">
        <v>8</v>
      </c>
      <c r="Z192" t="s">
        <v>732</v>
      </c>
      <c r="AA192" t="s">
        <v>276</v>
      </c>
      <c r="AB192">
        <v>0.64933629999999998</v>
      </c>
      <c r="AC192">
        <v>0.31127155000000001</v>
      </c>
      <c r="AD192">
        <v>0.48030390000000001</v>
      </c>
      <c r="AE192">
        <v>4.8217030000000001E-2</v>
      </c>
      <c r="AF192">
        <v>2.4442129999999999E-2</v>
      </c>
      <c r="AG192">
        <v>3.632958E-2</v>
      </c>
      <c r="AH192" t="s">
        <v>72</v>
      </c>
      <c r="AI192" t="s">
        <v>76</v>
      </c>
      <c r="AJ192" t="s">
        <v>61</v>
      </c>
    </row>
    <row r="193" spans="1:36" x14ac:dyDescent="0.2">
      <c r="A193">
        <v>191</v>
      </c>
      <c r="B193" t="s">
        <v>727</v>
      </c>
      <c r="C193" t="s">
        <v>734</v>
      </c>
      <c r="E193" t="s">
        <v>46</v>
      </c>
      <c r="I193" t="b">
        <f t="shared" si="2"/>
        <v>0</v>
      </c>
      <c r="J193">
        <v>0.125748500227928</v>
      </c>
      <c r="K193">
        <v>0</v>
      </c>
      <c r="M193">
        <v>0.15298692882060999</v>
      </c>
      <c r="N193">
        <v>1.33734280243515E-2</v>
      </c>
      <c r="O193">
        <v>21</v>
      </c>
      <c r="P193">
        <v>0</v>
      </c>
      <c r="W193">
        <v>1.2610334092348201</v>
      </c>
      <c r="X193">
        <v>6</v>
      </c>
      <c r="Y193">
        <v>8</v>
      </c>
      <c r="Z193" t="s">
        <v>732</v>
      </c>
      <c r="AA193" t="s">
        <v>735</v>
      </c>
      <c r="AB193">
        <v>0.64933629999999998</v>
      </c>
      <c r="AC193">
        <v>0.75635549999999996</v>
      </c>
      <c r="AD193">
        <v>0.70284592999999995</v>
      </c>
      <c r="AE193">
        <v>4.8217030000000001E-2</v>
      </c>
      <c r="AF193">
        <v>9.3445790000000001E-2</v>
      </c>
      <c r="AG193">
        <v>7.0831409999999997E-2</v>
      </c>
      <c r="AJ193" t="s">
        <v>40</v>
      </c>
    </row>
    <row r="194" spans="1:36" x14ac:dyDescent="0.2">
      <c r="A194">
        <v>192</v>
      </c>
      <c r="B194" t="s">
        <v>33</v>
      </c>
      <c r="C194" t="s">
        <v>310</v>
      </c>
      <c r="E194" t="s">
        <v>736</v>
      </c>
      <c r="I194" t="b">
        <f t="shared" ref="I194:I257" si="3">COUNTIFS($B$2:$B$257,$B194,$D$2:$D$257,"&lt;&gt;")+COUNTIFS($B$2:$B$257,$B194,$H$2:$H$257,"&lt;&gt;")&gt;0</f>
        <v>1</v>
      </c>
      <c r="J194">
        <v>0</v>
      </c>
      <c r="K194">
        <v>0</v>
      </c>
      <c r="M194">
        <v>2.3017078638076779E-2</v>
      </c>
      <c r="N194">
        <v>1.041271444410086E-2</v>
      </c>
      <c r="O194">
        <v>0</v>
      </c>
      <c r="P194">
        <v>0</v>
      </c>
      <c r="X194">
        <v>6</v>
      </c>
      <c r="Y194">
        <v>5</v>
      </c>
      <c r="Z194" t="s">
        <v>36</v>
      </c>
      <c r="AA194" t="s">
        <v>314</v>
      </c>
      <c r="AJ194" t="s">
        <v>61</v>
      </c>
    </row>
    <row r="195" spans="1:36" x14ac:dyDescent="0.2">
      <c r="A195">
        <v>193</v>
      </c>
      <c r="B195" t="s">
        <v>49</v>
      </c>
      <c r="C195" t="s">
        <v>525</v>
      </c>
      <c r="E195" t="s">
        <v>736</v>
      </c>
      <c r="I195" t="b">
        <f t="shared" si="3"/>
        <v>0</v>
      </c>
      <c r="J195">
        <v>0</v>
      </c>
      <c r="K195">
        <v>0</v>
      </c>
      <c r="M195">
        <v>7.028569933027029E-3</v>
      </c>
      <c r="N195">
        <v>2.5535870809108019E-3</v>
      </c>
      <c r="O195">
        <v>0</v>
      </c>
      <c r="P195">
        <v>0</v>
      </c>
      <c r="X195">
        <v>5</v>
      </c>
      <c r="Y195">
        <v>5</v>
      </c>
      <c r="Z195" t="s">
        <v>54</v>
      </c>
      <c r="AA195" t="s">
        <v>527</v>
      </c>
      <c r="AJ195" t="s">
        <v>40</v>
      </c>
    </row>
    <row r="196" spans="1:36" x14ac:dyDescent="0.2">
      <c r="A196">
        <v>194</v>
      </c>
      <c r="B196" t="s">
        <v>62</v>
      </c>
      <c r="C196" t="s">
        <v>352</v>
      </c>
      <c r="E196" t="s">
        <v>736</v>
      </c>
      <c r="I196" t="b">
        <f t="shared" si="3"/>
        <v>0</v>
      </c>
      <c r="J196">
        <v>0</v>
      </c>
      <c r="K196">
        <v>0</v>
      </c>
      <c r="M196">
        <v>3.4629173576831818E-2</v>
      </c>
      <c r="N196">
        <v>2.0569305866956711E-2</v>
      </c>
      <c r="O196">
        <v>0</v>
      </c>
      <c r="P196">
        <v>0</v>
      </c>
      <c r="X196">
        <v>6</v>
      </c>
      <c r="Y196">
        <v>6</v>
      </c>
      <c r="Z196" t="s">
        <v>64</v>
      </c>
      <c r="AA196" t="s">
        <v>737</v>
      </c>
      <c r="AJ196" t="s">
        <v>44</v>
      </c>
    </row>
    <row r="197" spans="1:36" x14ac:dyDescent="0.2">
      <c r="A197">
        <v>195</v>
      </c>
      <c r="B197" t="s">
        <v>77</v>
      </c>
      <c r="C197" t="s">
        <v>538</v>
      </c>
      <c r="E197" t="s">
        <v>736</v>
      </c>
      <c r="I197" t="b">
        <f t="shared" si="3"/>
        <v>0</v>
      </c>
      <c r="J197">
        <v>0</v>
      </c>
      <c r="K197">
        <v>0</v>
      </c>
      <c r="M197">
        <v>5.1633980125188828E-2</v>
      </c>
      <c r="N197">
        <v>1.350892428308725E-2</v>
      </c>
      <c r="O197">
        <v>0</v>
      </c>
      <c r="P197">
        <v>0</v>
      </c>
      <c r="X197">
        <v>4</v>
      </c>
      <c r="Y197">
        <v>7</v>
      </c>
      <c r="Z197" t="s">
        <v>82</v>
      </c>
      <c r="AA197" t="s">
        <v>543</v>
      </c>
      <c r="AJ197" t="s">
        <v>48</v>
      </c>
    </row>
    <row r="198" spans="1:36" x14ac:dyDescent="0.2">
      <c r="A198">
        <v>196</v>
      </c>
      <c r="B198" t="s">
        <v>90</v>
      </c>
      <c r="C198" t="s">
        <v>728</v>
      </c>
      <c r="E198" t="s">
        <v>736</v>
      </c>
      <c r="I198" t="b">
        <f t="shared" si="3"/>
        <v>1</v>
      </c>
      <c r="J198">
        <v>0</v>
      </c>
      <c r="K198">
        <v>0</v>
      </c>
      <c r="M198">
        <v>2.9550265520811081E-2</v>
      </c>
      <c r="N198">
        <v>1.020000036805868E-2</v>
      </c>
      <c r="O198">
        <v>0</v>
      </c>
      <c r="P198">
        <v>0</v>
      </c>
      <c r="X198">
        <v>5</v>
      </c>
      <c r="Y198">
        <v>7</v>
      </c>
      <c r="Z198" t="s">
        <v>92</v>
      </c>
      <c r="AA198" t="s">
        <v>730</v>
      </c>
      <c r="AJ198" t="s">
        <v>61</v>
      </c>
    </row>
    <row r="199" spans="1:36" x14ac:dyDescent="0.2">
      <c r="A199">
        <v>197</v>
      </c>
      <c r="B199" t="s">
        <v>104</v>
      </c>
      <c r="C199" t="s">
        <v>721</v>
      </c>
      <c r="E199" t="s">
        <v>736</v>
      </c>
      <c r="I199" t="b">
        <f t="shared" si="3"/>
        <v>0</v>
      </c>
      <c r="J199">
        <v>0</v>
      </c>
      <c r="K199">
        <v>0</v>
      </c>
      <c r="M199">
        <v>9.5564248040318489E-3</v>
      </c>
      <c r="N199">
        <v>1.092536188662052E-2</v>
      </c>
      <c r="O199">
        <v>0</v>
      </c>
      <c r="P199">
        <v>0</v>
      </c>
      <c r="X199">
        <v>5</v>
      </c>
      <c r="Y199">
        <v>5</v>
      </c>
      <c r="Z199" t="s">
        <v>106</v>
      </c>
      <c r="AA199" t="s">
        <v>723</v>
      </c>
      <c r="AJ199" t="s">
        <v>48</v>
      </c>
    </row>
    <row r="200" spans="1:36" x14ac:dyDescent="0.2">
      <c r="A200">
        <v>198</v>
      </c>
      <c r="B200" t="s">
        <v>117</v>
      </c>
      <c r="C200" t="s">
        <v>228</v>
      </c>
      <c r="E200" t="s">
        <v>736</v>
      </c>
      <c r="I200" t="b">
        <f t="shared" si="3"/>
        <v>0</v>
      </c>
      <c r="J200">
        <v>0</v>
      </c>
      <c r="K200">
        <v>0</v>
      </c>
      <c r="M200">
        <v>1.385433878749609E-2</v>
      </c>
      <c r="N200">
        <v>2.02420144341886E-3</v>
      </c>
      <c r="O200">
        <v>0</v>
      </c>
      <c r="P200">
        <v>0</v>
      </c>
      <c r="X200">
        <v>6</v>
      </c>
      <c r="Y200">
        <v>5</v>
      </c>
      <c r="Z200" t="s">
        <v>123</v>
      </c>
      <c r="AA200" t="s">
        <v>233</v>
      </c>
      <c r="AJ200" t="s">
        <v>40</v>
      </c>
    </row>
    <row r="201" spans="1:36" x14ac:dyDescent="0.2">
      <c r="A201">
        <v>199</v>
      </c>
      <c r="B201" t="s">
        <v>131</v>
      </c>
      <c r="C201" t="s">
        <v>372</v>
      </c>
      <c r="E201" t="s">
        <v>736</v>
      </c>
      <c r="I201" t="b">
        <f t="shared" si="3"/>
        <v>0</v>
      </c>
      <c r="J201">
        <v>0</v>
      </c>
      <c r="K201">
        <v>0</v>
      </c>
      <c r="M201">
        <v>1.959377899765968E-2</v>
      </c>
      <c r="N201">
        <v>3.7733335047960281E-2</v>
      </c>
      <c r="O201">
        <v>0</v>
      </c>
      <c r="P201">
        <v>0</v>
      </c>
      <c r="X201">
        <v>5</v>
      </c>
      <c r="Y201">
        <v>6</v>
      </c>
      <c r="Z201" t="s">
        <v>136</v>
      </c>
      <c r="AA201" t="s">
        <v>374</v>
      </c>
      <c r="AJ201" t="s">
        <v>48</v>
      </c>
    </row>
    <row r="202" spans="1:36" x14ac:dyDescent="0.2">
      <c r="A202">
        <v>200</v>
      </c>
      <c r="B202" t="s">
        <v>142</v>
      </c>
      <c r="C202" t="s">
        <v>474</v>
      </c>
      <c r="E202" t="s">
        <v>736</v>
      </c>
      <c r="I202" t="b">
        <f t="shared" si="3"/>
        <v>1</v>
      </c>
      <c r="J202">
        <v>0</v>
      </c>
      <c r="K202">
        <v>0</v>
      </c>
      <c r="M202">
        <v>3.8790877908468253E-2</v>
      </c>
      <c r="N202">
        <v>2.374626882374287E-2</v>
      </c>
      <c r="O202">
        <v>0</v>
      </c>
      <c r="P202">
        <v>0</v>
      </c>
      <c r="X202">
        <v>6</v>
      </c>
      <c r="Y202">
        <v>6</v>
      </c>
      <c r="Z202" t="s">
        <v>148</v>
      </c>
      <c r="AA202" t="s">
        <v>476</v>
      </c>
      <c r="AJ202" t="s">
        <v>44</v>
      </c>
    </row>
    <row r="203" spans="1:36" x14ac:dyDescent="0.2">
      <c r="A203">
        <v>201</v>
      </c>
      <c r="B203" t="s">
        <v>155</v>
      </c>
      <c r="C203" t="s">
        <v>443</v>
      </c>
      <c r="E203" t="s">
        <v>736</v>
      </c>
      <c r="I203" t="b">
        <f t="shared" si="3"/>
        <v>0</v>
      </c>
      <c r="J203">
        <v>0</v>
      </c>
      <c r="K203">
        <v>0</v>
      </c>
      <c r="M203">
        <v>5.3928893059492111E-2</v>
      </c>
      <c r="N203">
        <v>1.388289034366608E-2</v>
      </c>
      <c r="O203">
        <v>0</v>
      </c>
      <c r="P203">
        <v>0</v>
      </c>
      <c r="X203">
        <v>6</v>
      </c>
      <c r="Y203">
        <v>6</v>
      </c>
      <c r="Z203" t="s">
        <v>161</v>
      </c>
      <c r="AA203" t="s">
        <v>449</v>
      </c>
      <c r="AJ203" t="s">
        <v>44</v>
      </c>
    </row>
    <row r="204" spans="1:36" x14ac:dyDescent="0.2">
      <c r="A204">
        <v>202</v>
      </c>
      <c r="B204" t="s">
        <v>168</v>
      </c>
      <c r="C204" t="s">
        <v>378</v>
      </c>
      <c r="E204" t="s">
        <v>736</v>
      </c>
      <c r="I204" t="b">
        <f t="shared" si="3"/>
        <v>1</v>
      </c>
      <c r="J204">
        <v>0</v>
      </c>
      <c r="K204">
        <v>0</v>
      </c>
      <c r="M204">
        <v>1.4840699732303619E-2</v>
      </c>
      <c r="N204">
        <v>4.0000001899898052E-3</v>
      </c>
      <c r="O204">
        <v>0</v>
      </c>
      <c r="P204">
        <v>0</v>
      </c>
      <c r="X204">
        <v>6</v>
      </c>
      <c r="Y204">
        <v>6</v>
      </c>
      <c r="Z204" t="s">
        <v>174</v>
      </c>
      <c r="AA204" t="s">
        <v>380</v>
      </c>
      <c r="AJ204" t="s">
        <v>40</v>
      </c>
    </row>
    <row r="205" spans="1:36" x14ac:dyDescent="0.2">
      <c r="A205">
        <v>203</v>
      </c>
      <c r="B205" t="s">
        <v>182</v>
      </c>
      <c r="C205" t="s">
        <v>265</v>
      </c>
      <c r="E205" t="s">
        <v>736</v>
      </c>
      <c r="I205" t="b">
        <f t="shared" si="3"/>
        <v>0</v>
      </c>
      <c r="J205">
        <v>0</v>
      </c>
      <c r="K205">
        <v>0</v>
      </c>
      <c r="M205">
        <v>9.6195917576551437E-3</v>
      </c>
      <c r="N205">
        <v>1.410000026226044E-2</v>
      </c>
      <c r="O205">
        <v>0</v>
      </c>
      <c r="P205">
        <v>0</v>
      </c>
      <c r="X205">
        <v>6</v>
      </c>
      <c r="Y205">
        <v>6</v>
      </c>
      <c r="Z205" t="s">
        <v>184</v>
      </c>
      <c r="AA205" t="s">
        <v>267</v>
      </c>
      <c r="AJ205" t="s">
        <v>40</v>
      </c>
    </row>
    <row r="206" spans="1:36" x14ac:dyDescent="0.2">
      <c r="A206">
        <v>204</v>
      </c>
      <c r="B206" t="s">
        <v>192</v>
      </c>
      <c r="C206" t="s">
        <v>183</v>
      </c>
      <c r="E206" t="s">
        <v>736</v>
      </c>
      <c r="I206" t="b">
        <f t="shared" si="3"/>
        <v>1</v>
      </c>
      <c r="J206">
        <v>0</v>
      </c>
      <c r="K206">
        <v>0</v>
      </c>
      <c r="M206">
        <v>2.7026191353797909E-2</v>
      </c>
      <c r="N206">
        <v>1.1829564347863201E-2</v>
      </c>
      <c r="O206">
        <v>0</v>
      </c>
      <c r="P206">
        <v>0</v>
      </c>
      <c r="X206">
        <v>4</v>
      </c>
      <c r="Y206">
        <v>6</v>
      </c>
      <c r="Z206" t="s">
        <v>198</v>
      </c>
      <c r="AA206" t="s">
        <v>187</v>
      </c>
      <c r="AJ206" t="s">
        <v>61</v>
      </c>
    </row>
    <row r="207" spans="1:36" x14ac:dyDescent="0.2">
      <c r="A207">
        <v>205</v>
      </c>
      <c r="B207" t="s">
        <v>206</v>
      </c>
      <c r="C207" t="s">
        <v>50</v>
      </c>
      <c r="E207" t="s">
        <v>736</v>
      </c>
      <c r="I207" t="b">
        <f t="shared" si="3"/>
        <v>0</v>
      </c>
      <c r="J207">
        <v>0</v>
      </c>
      <c r="K207">
        <v>0</v>
      </c>
      <c r="M207">
        <v>3.5251438617706299E-2</v>
      </c>
      <c r="N207">
        <v>1.261823624372482E-2</v>
      </c>
      <c r="O207">
        <v>0</v>
      </c>
      <c r="P207">
        <v>0</v>
      </c>
      <c r="X207">
        <v>4</v>
      </c>
      <c r="Y207">
        <v>6</v>
      </c>
      <c r="Z207" t="s">
        <v>212</v>
      </c>
      <c r="AA207" t="s">
        <v>52</v>
      </c>
      <c r="AJ207" t="s">
        <v>48</v>
      </c>
    </row>
    <row r="208" spans="1:36" x14ac:dyDescent="0.2">
      <c r="A208">
        <v>206</v>
      </c>
      <c r="B208" t="s">
        <v>219</v>
      </c>
      <c r="C208" t="s">
        <v>561</v>
      </c>
      <c r="E208" t="s">
        <v>736</v>
      </c>
      <c r="I208" t="b">
        <f t="shared" si="3"/>
        <v>1</v>
      </c>
      <c r="J208">
        <v>0</v>
      </c>
      <c r="K208">
        <v>0</v>
      </c>
      <c r="M208">
        <v>3.0101785436272621E-2</v>
      </c>
      <c r="N208">
        <v>2.7400000020861629E-2</v>
      </c>
      <c r="O208">
        <v>0</v>
      </c>
      <c r="P208">
        <v>0</v>
      </c>
      <c r="X208">
        <v>5</v>
      </c>
      <c r="Y208">
        <v>6</v>
      </c>
      <c r="Z208" t="s">
        <v>221</v>
      </c>
      <c r="AA208" t="s">
        <v>563</v>
      </c>
      <c r="AJ208" t="s">
        <v>48</v>
      </c>
    </row>
    <row r="209" spans="1:36" x14ac:dyDescent="0.2">
      <c r="A209">
        <v>207</v>
      </c>
      <c r="B209" t="s">
        <v>227</v>
      </c>
      <c r="C209" t="s">
        <v>342</v>
      </c>
      <c r="E209" t="s">
        <v>736</v>
      </c>
      <c r="I209" t="b">
        <f t="shared" si="3"/>
        <v>0</v>
      </c>
      <c r="J209">
        <v>0</v>
      </c>
      <c r="K209">
        <v>0</v>
      </c>
      <c r="M209">
        <v>6.6641699522733688E-3</v>
      </c>
      <c r="N209">
        <v>6.8192826583981514E-3</v>
      </c>
      <c r="O209">
        <v>0</v>
      </c>
      <c r="P209">
        <v>0</v>
      </c>
      <c r="X209">
        <v>5</v>
      </c>
      <c r="Y209">
        <v>5</v>
      </c>
      <c r="Z209" t="s">
        <v>229</v>
      </c>
      <c r="AA209" t="s">
        <v>346</v>
      </c>
      <c r="AJ209" t="s">
        <v>40</v>
      </c>
    </row>
    <row r="210" spans="1:36" x14ac:dyDescent="0.2">
      <c r="A210">
        <v>208</v>
      </c>
      <c r="B210" t="s">
        <v>238</v>
      </c>
      <c r="C210" t="s">
        <v>713</v>
      </c>
      <c r="E210" t="s">
        <v>736</v>
      </c>
      <c r="I210" t="b">
        <f t="shared" si="3"/>
        <v>0</v>
      </c>
      <c r="J210">
        <v>0</v>
      </c>
      <c r="K210">
        <v>0</v>
      </c>
      <c r="M210">
        <v>3.4071656409651041E-3</v>
      </c>
      <c r="N210">
        <v>2.4342983961105351E-3</v>
      </c>
      <c r="O210">
        <v>0</v>
      </c>
      <c r="P210">
        <v>0</v>
      </c>
      <c r="X210">
        <v>5</v>
      </c>
      <c r="Y210">
        <v>7</v>
      </c>
      <c r="Z210" t="s">
        <v>240</v>
      </c>
      <c r="AA210" t="s">
        <v>717</v>
      </c>
      <c r="AJ210" t="s">
        <v>61</v>
      </c>
    </row>
    <row r="211" spans="1:36" x14ac:dyDescent="0.2">
      <c r="A211">
        <v>209</v>
      </c>
      <c r="B211" t="s">
        <v>252</v>
      </c>
      <c r="C211" t="s">
        <v>664</v>
      </c>
      <c r="E211" t="s">
        <v>736</v>
      </c>
      <c r="I211" t="b">
        <f t="shared" si="3"/>
        <v>0</v>
      </c>
      <c r="J211">
        <v>0</v>
      </c>
      <c r="K211">
        <v>0</v>
      </c>
      <c r="M211">
        <v>3.2367493957281113E-2</v>
      </c>
      <c r="N211">
        <v>1.129405479878187E-2</v>
      </c>
      <c r="O211">
        <v>0</v>
      </c>
      <c r="P211">
        <v>0</v>
      </c>
      <c r="X211">
        <v>4</v>
      </c>
      <c r="Y211">
        <v>5</v>
      </c>
      <c r="Z211" t="s">
        <v>254</v>
      </c>
      <c r="AA211" t="s">
        <v>738</v>
      </c>
      <c r="AJ211" t="s">
        <v>40</v>
      </c>
    </row>
    <row r="212" spans="1:36" x14ac:dyDescent="0.2">
      <c r="A212">
        <v>210</v>
      </c>
      <c r="B212" t="s">
        <v>264</v>
      </c>
      <c r="C212" t="s">
        <v>253</v>
      </c>
      <c r="E212" t="s">
        <v>736</v>
      </c>
      <c r="I212" t="b">
        <f t="shared" si="3"/>
        <v>1</v>
      </c>
      <c r="J212">
        <v>0</v>
      </c>
      <c r="K212">
        <v>0</v>
      </c>
      <c r="M212">
        <v>2.0136328414082531E-2</v>
      </c>
      <c r="N212">
        <v>1.4671264216303831E-2</v>
      </c>
      <c r="O212">
        <v>0</v>
      </c>
      <c r="P212">
        <v>0</v>
      </c>
      <c r="X212">
        <v>6</v>
      </c>
      <c r="Y212">
        <v>6</v>
      </c>
      <c r="Z212" t="s">
        <v>266</v>
      </c>
      <c r="AA212" t="s">
        <v>255</v>
      </c>
      <c r="AJ212" t="s">
        <v>48</v>
      </c>
    </row>
    <row r="213" spans="1:36" x14ac:dyDescent="0.2">
      <c r="A213">
        <v>211</v>
      </c>
      <c r="B213" t="s">
        <v>273</v>
      </c>
      <c r="C213" t="s">
        <v>132</v>
      </c>
      <c r="E213" t="s">
        <v>736</v>
      </c>
      <c r="I213" t="b">
        <f t="shared" si="3"/>
        <v>1</v>
      </c>
      <c r="J213">
        <v>0</v>
      </c>
      <c r="K213">
        <v>0</v>
      </c>
      <c r="M213">
        <v>3.5572569817304611E-2</v>
      </c>
      <c r="N213">
        <v>1.175571978092194E-2</v>
      </c>
      <c r="O213">
        <v>0</v>
      </c>
      <c r="P213">
        <v>0</v>
      </c>
      <c r="X213">
        <v>6</v>
      </c>
      <c r="Y213">
        <v>6</v>
      </c>
      <c r="Z213" t="s">
        <v>279</v>
      </c>
      <c r="AA213" t="s">
        <v>134</v>
      </c>
      <c r="AJ213" t="s">
        <v>48</v>
      </c>
    </row>
    <row r="214" spans="1:36" x14ac:dyDescent="0.2">
      <c r="A214">
        <v>212</v>
      </c>
      <c r="B214" t="s">
        <v>286</v>
      </c>
      <c r="C214" t="s">
        <v>363</v>
      </c>
      <c r="E214" t="s">
        <v>736</v>
      </c>
      <c r="I214" t="b">
        <f t="shared" si="3"/>
        <v>1</v>
      </c>
      <c r="J214">
        <v>0</v>
      </c>
      <c r="K214">
        <v>0</v>
      </c>
      <c r="M214">
        <v>8.0433329567313194E-3</v>
      </c>
      <c r="N214">
        <v>6.7888903431594372E-3</v>
      </c>
      <c r="O214">
        <v>0</v>
      </c>
      <c r="P214">
        <v>0</v>
      </c>
      <c r="X214">
        <v>4</v>
      </c>
      <c r="Y214">
        <v>5</v>
      </c>
      <c r="Z214" t="s">
        <v>288</v>
      </c>
      <c r="AA214" t="s">
        <v>739</v>
      </c>
      <c r="AJ214" t="s">
        <v>61</v>
      </c>
    </row>
    <row r="215" spans="1:36" x14ac:dyDescent="0.2">
      <c r="A215">
        <v>213</v>
      </c>
      <c r="B215" t="s">
        <v>298</v>
      </c>
      <c r="C215" t="s">
        <v>220</v>
      </c>
      <c r="E215" t="s">
        <v>736</v>
      </c>
      <c r="I215" t="b">
        <f t="shared" si="3"/>
        <v>1</v>
      </c>
      <c r="J215">
        <v>0</v>
      </c>
      <c r="K215">
        <v>0</v>
      </c>
      <c r="M215">
        <v>1.6136672347784039E-2</v>
      </c>
      <c r="N215">
        <v>1.740000024437904E-2</v>
      </c>
      <c r="O215">
        <v>0</v>
      </c>
      <c r="P215">
        <v>0</v>
      </c>
      <c r="X215">
        <v>4</v>
      </c>
      <c r="Y215">
        <v>7</v>
      </c>
      <c r="Z215" t="s">
        <v>300</v>
      </c>
      <c r="AA215" t="s">
        <v>222</v>
      </c>
      <c r="AJ215" t="s">
        <v>40</v>
      </c>
    </row>
    <row r="216" spans="1:36" x14ac:dyDescent="0.2">
      <c r="A216">
        <v>214</v>
      </c>
      <c r="B216" t="s">
        <v>309</v>
      </c>
      <c r="C216" t="s">
        <v>395</v>
      </c>
      <c r="E216" t="s">
        <v>736</v>
      </c>
      <c r="I216" t="b">
        <f t="shared" si="3"/>
        <v>1</v>
      </c>
      <c r="J216">
        <v>0</v>
      </c>
      <c r="K216">
        <v>0</v>
      </c>
      <c r="M216">
        <v>2.95533686876297E-2</v>
      </c>
      <c r="N216">
        <v>1.8178202211856839E-2</v>
      </c>
      <c r="O216">
        <v>0</v>
      </c>
      <c r="P216">
        <v>0</v>
      </c>
      <c r="X216">
        <v>5</v>
      </c>
      <c r="Y216">
        <v>7</v>
      </c>
      <c r="Z216" t="s">
        <v>311</v>
      </c>
      <c r="AA216" t="s">
        <v>397</v>
      </c>
      <c r="AJ216" t="s">
        <v>61</v>
      </c>
    </row>
    <row r="217" spans="1:36" x14ac:dyDescent="0.2">
      <c r="A217">
        <v>215</v>
      </c>
      <c r="B217" t="s">
        <v>320</v>
      </c>
      <c r="C217" t="s">
        <v>78</v>
      </c>
      <c r="E217" t="s">
        <v>736</v>
      </c>
      <c r="I217" t="b">
        <f t="shared" si="3"/>
        <v>0</v>
      </c>
      <c r="J217">
        <v>0</v>
      </c>
      <c r="K217">
        <v>0</v>
      </c>
      <c r="M217">
        <v>1.197357568889856E-2</v>
      </c>
      <c r="N217">
        <v>3.5599999129772193E-2</v>
      </c>
      <c r="O217">
        <v>0</v>
      </c>
      <c r="P217">
        <v>0</v>
      </c>
      <c r="X217">
        <v>4</v>
      </c>
      <c r="Y217">
        <v>7</v>
      </c>
      <c r="Z217" t="s">
        <v>322</v>
      </c>
      <c r="AA217" t="s">
        <v>80</v>
      </c>
      <c r="AJ217" t="s">
        <v>40</v>
      </c>
    </row>
    <row r="218" spans="1:36" x14ac:dyDescent="0.2">
      <c r="A218">
        <v>216</v>
      </c>
      <c r="B218" t="s">
        <v>329</v>
      </c>
      <c r="C218" t="s">
        <v>551</v>
      </c>
      <c r="E218" t="s">
        <v>736</v>
      </c>
      <c r="I218" t="b">
        <f t="shared" si="3"/>
        <v>1</v>
      </c>
      <c r="J218">
        <v>0</v>
      </c>
      <c r="K218">
        <v>0</v>
      </c>
      <c r="M218">
        <v>3.056039847433567E-2</v>
      </c>
      <c r="N218">
        <v>7.2123855352401733E-3</v>
      </c>
      <c r="O218">
        <v>0</v>
      </c>
      <c r="P218">
        <v>0</v>
      </c>
      <c r="X218">
        <v>5</v>
      </c>
      <c r="Y218">
        <v>6</v>
      </c>
      <c r="Z218" t="s">
        <v>335</v>
      </c>
      <c r="AA218" t="s">
        <v>553</v>
      </c>
      <c r="AJ218" t="s">
        <v>48</v>
      </c>
    </row>
    <row r="219" spans="1:36" x14ac:dyDescent="0.2">
      <c r="A219">
        <v>217</v>
      </c>
      <c r="B219" t="s">
        <v>341</v>
      </c>
      <c r="C219" t="s">
        <v>643</v>
      </c>
      <c r="E219" t="s">
        <v>736</v>
      </c>
      <c r="I219" t="b">
        <f t="shared" si="3"/>
        <v>1</v>
      </c>
      <c r="J219">
        <v>0</v>
      </c>
      <c r="K219">
        <v>0</v>
      </c>
      <c r="M219">
        <v>4.9503389745950699E-3</v>
      </c>
      <c r="N219">
        <v>1.7000000923871991E-2</v>
      </c>
      <c r="O219">
        <v>0</v>
      </c>
      <c r="P219">
        <v>0</v>
      </c>
      <c r="X219">
        <v>4</v>
      </c>
      <c r="Y219">
        <v>5</v>
      </c>
      <c r="Z219" t="s">
        <v>343</v>
      </c>
      <c r="AA219" t="s">
        <v>645</v>
      </c>
      <c r="AJ219" t="s">
        <v>44</v>
      </c>
    </row>
    <row r="220" spans="1:36" x14ac:dyDescent="0.2">
      <c r="A220">
        <v>218</v>
      </c>
      <c r="B220" t="s">
        <v>351</v>
      </c>
      <c r="C220" t="s">
        <v>653</v>
      </c>
      <c r="E220" t="s">
        <v>736</v>
      </c>
      <c r="I220" t="b">
        <f t="shared" si="3"/>
        <v>0</v>
      </c>
      <c r="J220">
        <v>0</v>
      </c>
      <c r="K220">
        <v>0</v>
      </c>
      <c r="M220">
        <v>2.7974141761660579E-2</v>
      </c>
      <c r="N220">
        <v>9.1936439275741577E-3</v>
      </c>
      <c r="O220">
        <v>0</v>
      </c>
      <c r="P220">
        <v>0</v>
      </c>
      <c r="X220">
        <v>5</v>
      </c>
      <c r="Y220">
        <v>6</v>
      </c>
      <c r="Z220" t="s">
        <v>353</v>
      </c>
      <c r="AA220" t="s">
        <v>655</v>
      </c>
      <c r="AJ220" t="s">
        <v>44</v>
      </c>
    </row>
    <row r="221" spans="1:36" x14ac:dyDescent="0.2">
      <c r="A221">
        <v>219</v>
      </c>
      <c r="B221" t="s">
        <v>362</v>
      </c>
      <c r="C221" t="s">
        <v>156</v>
      </c>
      <c r="E221" t="s">
        <v>736</v>
      </c>
      <c r="I221" t="b">
        <f t="shared" si="3"/>
        <v>0</v>
      </c>
      <c r="J221">
        <v>0</v>
      </c>
      <c r="K221">
        <v>0</v>
      </c>
      <c r="M221">
        <v>1.736330054700375E-2</v>
      </c>
      <c r="N221">
        <v>7.7115343883633614E-3</v>
      </c>
      <c r="O221">
        <v>0</v>
      </c>
      <c r="P221">
        <v>0</v>
      </c>
      <c r="X221">
        <v>6</v>
      </c>
      <c r="Y221">
        <v>6</v>
      </c>
      <c r="Z221" t="s">
        <v>368</v>
      </c>
      <c r="AA221" t="s">
        <v>158</v>
      </c>
      <c r="AJ221" t="s">
        <v>44</v>
      </c>
    </row>
    <row r="222" spans="1:36" x14ac:dyDescent="0.2">
      <c r="A222">
        <v>220</v>
      </c>
      <c r="B222" t="s">
        <v>371</v>
      </c>
      <c r="C222" t="s">
        <v>287</v>
      </c>
      <c r="E222" t="s">
        <v>736</v>
      </c>
      <c r="I222" t="b">
        <f t="shared" si="3"/>
        <v>0</v>
      </c>
      <c r="J222">
        <v>0</v>
      </c>
      <c r="K222">
        <v>0</v>
      </c>
      <c r="M222">
        <v>5.6621074676513672E-2</v>
      </c>
      <c r="N222">
        <v>3.7200000137090683E-2</v>
      </c>
      <c r="O222">
        <v>0</v>
      </c>
      <c r="P222">
        <v>0</v>
      </c>
      <c r="X222">
        <v>6</v>
      </c>
      <c r="Y222">
        <v>5</v>
      </c>
      <c r="Z222" t="s">
        <v>373</v>
      </c>
      <c r="AA222" t="s">
        <v>289</v>
      </c>
      <c r="AJ222" t="s">
        <v>61</v>
      </c>
    </row>
    <row r="223" spans="1:36" x14ac:dyDescent="0.2">
      <c r="A223">
        <v>221</v>
      </c>
      <c r="B223" t="s">
        <v>377</v>
      </c>
      <c r="C223" t="s">
        <v>432</v>
      </c>
      <c r="E223" t="s">
        <v>736</v>
      </c>
      <c r="I223" t="b">
        <f t="shared" si="3"/>
        <v>0</v>
      </c>
      <c r="J223">
        <v>0</v>
      </c>
      <c r="K223">
        <v>0</v>
      </c>
      <c r="M223">
        <v>1.536143384873867E-2</v>
      </c>
      <c r="N223">
        <v>1.2647575698792929E-2</v>
      </c>
      <c r="O223">
        <v>0</v>
      </c>
      <c r="P223">
        <v>0</v>
      </c>
      <c r="X223">
        <v>6</v>
      </c>
      <c r="Y223">
        <v>4</v>
      </c>
      <c r="Z223" t="s">
        <v>379</v>
      </c>
      <c r="AA223" t="s">
        <v>434</v>
      </c>
      <c r="AJ223" t="s">
        <v>44</v>
      </c>
    </row>
    <row r="224" spans="1:36" x14ac:dyDescent="0.2">
      <c r="A224">
        <v>222</v>
      </c>
      <c r="B224" t="s">
        <v>385</v>
      </c>
      <c r="C224" t="s">
        <v>143</v>
      </c>
      <c r="E224" t="s">
        <v>736</v>
      </c>
      <c r="I224" t="b">
        <f t="shared" si="3"/>
        <v>1</v>
      </c>
      <c r="J224">
        <v>0</v>
      </c>
      <c r="K224">
        <v>0</v>
      </c>
      <c r="M224">
        <v>1.593880727887154E-2</v>
      </c>
      <c r="N224">
        <v>1.9405508413910869E-2</v>
      </c>
      <c r="O224">
        <v>0</v>
      </c>
      <c r="P224">
        <v>0</v>
      </c>
      <c r="X224">
        <v>4</v>
      </c>
      <c r="Y224">
        <v>4</v>
      </c>
      <c r="Z224" t="s">
        <v>387</v>
      </c>
      <c r="AA224" t="s">
        <v>145</v>
      </c>
      <c r="AJ224" t="s">
        <v>40</v>
      </c>
    </row>
    <row r="225" spans="1:36" x14ac:dyDescent="0.2">
      <c r="A225">
        <v>223</v>
      </c>
      <c r="B225" t="s">
        <v>394</v>
      </c>
      <c r="C225" t="s">
        <v>592</v>
      </c>
      <c r="E225" t="s">
        <v>736</v>
      </c>
      <c r="I225" t="b">
        <f t="shared" si="3"/>
        <v>0</v>
      </c>
      <c r="J225">
        <v>0</v>
      </c>
      <c r="K225">
        <v>0</v>
      </c>
      <c r="M225">
        <v>3.5963773727416992E-2</v>
      </c>
      <c r="N225">
        <v>6.2644467689096928E-3</v>
      </c>
      <c r="O225">
        <v>0</v>
      </c>
      <c r="P225">
        <v>0</v>
      </c>
      <c r="X225">
        <v>5</v>
      </c>
      <c r="Y225">
        <v>4</v>
      </c>
      <c r="Z225" t="s">
        <v>396</v>
      </c>
      <c r="AA225" t="s">
        <v>740</v>
      </c>
      <c r="AJ225" t="s">
        <v>44</v>
      </c>
    </row>
    <row r="226" spans="1:36" x14ac:dyDescent="0.2">
      <c r="A226">
        <v>224</v>
      </c>
      <c r="B226" t="s">
        <v>408</v>
      </c>
      <c r="C226" t="s">
        <v>624</v>
      </c>
      <c r="E226" t="s">
        <v>736</v>
      </c>
      <c r="I226" t="b">
        <f t="shared" si="3"/>
        <v>0</v>
      </c>
      <c r="J226">
        <v>0</v>
      </c>
      <c r="K226">
        <v>0</v>
      </c>
      <c r="M226">
        <v>3.2263681292533868E-2</v>
      </c>
      <c r="N226">
        <v>1.7097160220146179E-2</v>
      </c>
      <c r="O226">
        <v>0</v>
      </c>
      <c r="P226">
        <v>0</v>
      </c>
      <c r="X226">
        <v>4</v>
      </c>
      <c r="Y226">
        <v>4</v>
      </c>
      <c r="Z226" t="s">
        <v>410</v>
      </c>
      <c r="AA226" t="s">
        <v>626</v>
      </c>
      <c r="AJ226" t="s">
        <v>44</v>
      </c>
    </row>
    <row r="227" spans="1:36" x14ac:dyDescent="0.2">
      <c r="A227">
        <v>225</v>
      </c>
      <c r="B227" t="s">
        <v>418</v>
      </c>
      <c r="C227" t="s">
        <v>321</v>
      </c>
      <c r="E227" t="s">
        <v>736</v>
      </c>
      <c r="I227" t="b">
        <f t="shared" si="3"/>
        <v>0</v>
      </c>
      <c r="J227">
        <v>0</v>
      </c>
      <c r="K227">
        <v>0</v>
      </c>
      <c r="M227">
        <v>5.1943648606538773E-2</v>
      </c>
      <c r="N227">
        <v>7.6391114853322506E-3</v>
      </c>
      <c r="O227">
        <v>0</v>
      </c>
      <c r="P227">
        <v>0</v>
      </c>
      <c r="X227">
        <v>6</v>
      </c>
      <c r="Y227">
        <v>4</v>
      </c>
      <c r="Z227" t="s">
        <v>420</v>
      </c>
      <c r="AA227" t="s">
        <v>325</v>
      </c>
      <c r="AJ227" t="s">
        <v>48</v>
      </c>
    </row>
    <row r="228" spans="1:36" x14ac:dyDescent="0.2">
      <c r="A228">
        <v>226</v>
      </c>
      <c r="B228" t="s">
        <v>431</v>
      </c>
      <c r="C228" t="s">
        <v>684</v>
      </c>
      <c r="E228" t="s">
        <v>736</v>
      </c>
      <c r="I228" t="b">
        <f t="shared" si="3"/>
        <v>0</v>
      </c>
      <c r="J228">
        <v>0</v>
      </c>
      <c r="K228">
        <v>0</v>
      </c>
      <c r="M228">
        <v>7.3590492829680443E-3</v>
      </c>
      <c r="N228">
        <v>1.1692906729877E-2</v>
      </c>
      <c r="O228">
        <v>0</v>
      </c>
      <c r="P228">
        <v>0</v>
      </c>
      <c r="X228">
        <v>6</v>
      </c>
      <c r="Y228">
        <v>4</v>
      </c>
      <c r="Z228" t="s">
        <v>433</v>
      </c>
      <c r="AA228" t="s">
        <v>688</v>
      </c>
      <c r="AJ228" t="s">
        <v>61</v>
      </c>
    </row>
    <row r="229" spans="1:36" x14ac:dyDescent="0.2">
      <c r="A229">
        <v>227</v>
      </c>
      <c r="B229" t="s">
        <v>442</v>
      </c>
      <c r="C229" t="s">
        <v>169</v>
      </c>
      <c r="E229" t="s">
        <v>736</v>
      </c>
      <c r="I229" t="b">
        <f t="shared" si="3"/>
        <v>0</v>
      </c>
      <c r="J229">
        <v>0</v>
      </c>
      <c r="K229">
        <v>0</v>
      </c>
      <c r="M229">
        <v>1.1447564698755739E-2</v>
      </c>
      <c r="N229">
        <v>4.4385511428117752E-3</v>
      </c>
      <c r="O229">
        <v>0</v>
      </c>
      <c r="P229">
        <v>0</v>
      </c>
      <c r="X229">
        <v>4</v>
      </c>
      <c r="Y229">
        <v>8</v>
      </c>
      <c r="Z229" t="s">
        <v>448</v>
      </c>
      <c r="AA229" t="s">
        <v>171</v>
      </c>
      <c r="AJ229" t="s">
        <v>61</v>
      </c>
    </row>
    <row r="230" spans="1:36" x14ac:dyDescent="0.2">
      <c r="A230">
        <v>228</v>
      </c>
      <c r="B230" t="s">
        <v>456</v>
      </c>
      <c r="C230" t="s">
        <v>299</v>
      </c>
      <c r="E230" t="s">
        <v>736</v>
      </c>
      <c r="I230" t="b">
        <f t="shared" si="3"/>
        <v>0</v>
      </c>
      <c r="J230">
        <v>0</v>
      </c>
      <c r="K230">
        <v>0</v>
      </c>
      <c r="M230">
        <v>2.3121286183595661E-2</v>
      </c>
      <c r="N230">
        <v>2.8200000524520871E-2</v>
      </c>
      <c r="O230">
        <v>0</v>
      </c>
      <c r="P230">
        <v>0</v>
      </c>
      <c r="X230">
        <v>5</v>
      </c>
      <c r="Y230">
        <v>4</v>
      </c>
      <c r="Z230" t="s">
        <v>458</v>
      </c>
      <c r="AA230" t="s">
        <v>741</v>
      </c>
      <c r="AJ230" t="s">
        <v>61</v>
      </c>
    </row>
    <row r="231" spans="1:36" x14ac:dyDescent="0.2">
      <c r="A231">
        <v>229</v>
      </c>
      <c r="B231" t="s">
        <v>465</v>
      </c>
      <c r="C231" t="s">
        <v>330</v>
      </c>
      <c r="E231" t="s">
        <v>736</v>
      </c>
      <c r="I231" t="b">
        <f t="shared" si="3"/>
        <v>0</v>
      </c>
      <c r="J231">
        <v>0</v>
      </c>
      <c r="K231">
        <v>0</v>
      </c>
      <c r="M231">
        <v>1.278448291122913E-2</v>
      </c>
      <c r="N231">
        <v>1.0548043064773079E-2</v>
      </c>
      <c r="O231">
        <v>0</v>
      </c>
      <c r="P231">
        <v>0</v>
      </c>
      <c r="X231">
        <v>5</v>
      </c>
      <c r="Y231">
        <v>4</v>
      </c>
      <c r="Z231" t="s">
        <v>466</v>
      </c>
      <c r="AA231" t="s">
        <v>336</v>
      </c>
      <c r="AJ231" t="s">
        <v>44</v>
      </c>
    </row>
    <row r="232" spans="1:36" x14ac:dyDescent="0.2">
      <c r="A232">
        <v>230</v>
      </c>
      <c r="B232" t="s">
        <v>473</v>
      </c>
      <c r="C232" t="s">
        <v>487</v>
      </c>
      <c r="E232" t="s">
        <v>736</v>
      </c>
      <c r="I232" t="b">
        <f t="shared" si="3"/>
        <v>0</v>
      </c>
      <c r="J232">
        <v>0</v>
      </c>
      <c r="K232">
        <v>0</v>
      </c>
      <c r="M232">
        <v>2.1342068910598751E-2</v>
      </c>
      <c r="N232">
        <v>1.1786266230046751E-2</v>
      </c>
      <c r="O232">
        <v>0</v>
      </c>
      <c r="P232">
        <v>0</v>
      </c>
      <c r="X232">
        <v>5</v>
      </c>
      <c r="Y232">
        <v>4</v>
      </c>
      <c r="Z232" t="s">
        <v>475</v>
      </c>
      <c r="AA232" t="s">
        <v>489</v>
      </c>
      <c r="AJ232" t="s">
        <v>44</v>
      </c>
    </row>
    <row r="233" spans="1:36" x14ac:dyDescent="0.2">
      <c r="A233">
        <v>231</v>
      </c>
      <c r="B233" t="s">
        <v>486</v>
      </c>
      <c r="C233" t="s">
        <v>409</v>
      </c>
      <c r="E233" t="s">
        <v>736</v>
      </c>
      <c r="I233" t="b">
        <f t="shared" si="3"/>
        <v>0</v>
      </c>
      <c r="J233">
        <v>0</v>
      </c>
      <c r="K233">
        <v>0</v>
      </c>
      <c r="M233">
        <v>4.0768291801214218E-2</v>
      </c>
      <c r="N233">
        <v>8.906136266887188E-3</v>
      </c>
      <c r="O233">
        <v>0</v>
      </c>
      <c r="P233">
        <v>0</v>
      </c>
      <c r="X233">
        <v>4</v>
      </c>
      <c r="Y233">
        <v>4</v>
      </c>
      <c r="Z233" t="s">
        <v>488</v>
      </c>
      <c r="AA233" t="s">
        <v>411</v>
      </c>
      <c r="AJ233" t="s">
        <v>61</v>
      </c>
    </row>
    <row r="234" spans="1:36" x14ac:dyDescent="0.2">
      <c r="A234">
        <v>232</v>
      </c>
      <c r="B234" t="s">
        <v>495</v>
      </c>
      <c r="C234" t="s">
        <v>386</v>
      </c>
      <c r="E234" t="s">
        <v>736</v>
      </c>
      <c r="I234" t="b">
        <f t="shared" si="3"/>
        <v>0</v>
      </c>
      <c r="J234">
        <v>0</v>
      </c>
      <c r="K234">
        <v>0</v>
      </c>
      <c r="M234">
        <v>8.9675504714250565E-3</v>
      </c>
      <c r="N234">
        <v>1.551819313317537E-2</v>
      </c>
      <c r="O234">
        <v>0</v>
      </c>
      <c r="P234">
        <v>0</v>
      </c>
      <c r="X234">
        <v>5</v>
      </c>
      <c r="Y234">
        <v>4</v>
      </c>
      <c r="Z234" t="s">
        <v>500</v>
      </c>
      <c r="AA234" t="s">
        <v>388</v>
      </c>
      <c r="AJ234" t="s">
        <v>48</v>
      </c>
    </row>
    <row r="235" spans="1:36" x14ac:dyDescent="0.2">
      <c r="A235">
        <v>233</v>
      </c>
      <c r="B235" t="s">
        <v>507</v>
      </c>
      <c r="C235" t="s">
        <v>610</v>
      </c>
      <c r="E235" t="s">
        <v>736</v>
      </c>
      <c r="I235" t="b">
        <f t="shared" si="3"/>
        <v>0</v>
      </c>
      <c r="J235">
        <v>0</v>
      </c>
      <c r="K235">
        <v>0</v>
      </c>
      <c r="M235">
        <v>5.5512399412691593E-3</v>
      </c>
      <c r="N235">
        <v>3.1666667200624938E-3</v>
      </c>
      <c r="O235">
        <v>0</v>
      </c>
      <c r="P235">
        <v>0</v>
      </c>
      <c r="X235">
        <v>6</v>
      </c>
      <c r="Y235">
        <v>4</v>
      </c>
      <c r="Z235" t="s">
        <v>508</v>
      </c>
      <c r="AA235" t="s">
        <v>615</v>
      </c>
      <c r="AJ235" t="s">
        <v>40</v>
      </c>
    </row>
    <row r="236" spans="1:36" x14ac:dyDescent="0.2">
      <c r="A236">
        <v>234</v>
      </c>
      <c r="B236" t="s">
        <v>515</v>
      </c>
      <c r="C236" t="s">
        <v>239</v>
      </c>
      <c r="E236" t="s">
        <v>736</v>
      </c>
      <c r="I236" t="b">
        <f t="shared" si="3"/>
        <v>1</v>
      </c>
      <c r="J236">
        <v>0</v>
      </c>
      <c r="K236">
        <v>0</v>
      </c>
      <c r="M236">
        <v>2.1339377854019399E-3</v>
      </c>
      <c r="N236">
        <v>2.3274531122297049E-3</v>
      </c>
      <c r="O236">
        <v>0</v>
      </c>
      <c r="P236">
        <v>0</v>
      </c>
      <c r="X236">
        <v>4</v>
      </c>
      <c r="Y236">
        <v>4</v>
      </c>
      <c r="Z236" t="s">
        <v>520</v>
      </c>
      <c r="AA236" t="s">
        <v>241</v>
      </c>
      <c r="AJ236" t="s">
        <v>61</v>
      </c>
    </row>
    <row r="237" spans="1:36" x14ac:dyDescent="0.2">
      <c r="A237">
        <v>235</v>
      </c>
      <c r="B237" t="s">
        <v>524</v>
      </c>
      <c r="C237" t="s">
        <v>105</v>
      </c>
      <c r="E237" t="s">
        <v>736</v>
      </c>
      <c r="I237" t="b">
        <f t="shared" si="3"/>
        <v>0</v>
      </c>
      <c r="J237">
        <v>0</v>
      </c>
      <c r="K237">
        <v>0</v>
      </c>
      <c r="M237">
        <v>5.8825932443141937E-2</v>
      </c>
      <c r="N237">
        <v>9.0770618990063667E-3</v>
      </c>
      <c r="O237">
        <v>0</v>
      </c>
      <c r="P237">
        <v>0</v>
      </c>
      <c r="X237">
        <v>4</v>
      </c>
      <c r="Y237">
        <v>4</v>
      </c>
      <c r="Z237" t="s">
        <v>530</v>
      </c>
      <c r="AA237" t="s">
        <v>107</v>
      </c>
      <c r="AJ237" t="s">
        <v>48</v>
      </c>
    </row>
    <row r="238" spans="1:36" x14ac:dyDescent="0.2">
      <c r="A238">
        <v>236</v>
      </c>
      <c r="B238" t="s">
        <v>537</v>
      </c>
      <c r="C238" t="s">
        <v>419</v>
      </c>
      <c r="E238" t="s">
        <v>736</v>
      </c>
      <c r="I238" t="b">
        <f t="shared" si="3"/>
        <v>1</v>
      </c>
      <c r="J238">
        <v>0</v>
      </c>
      <c r="K238">
        <v>0</v>
      </c>
      <c r="M238">
        <v>4.1131090372800827E-2</v>
      </c>
      <c r="N238">
        <v>1.7902916297316551E-2</v>
      </c>
      <c r="O238">
        <v>0</v>
      </c>
      <c r="P238">
        <v>0</v>
      </c>
      <c r="X238">
        <v>6</v>
      </c>
      <c r="Y238">
        <v>8</v>
      </c>
      <c r="Z238" t="s">
        <v>542</v>
      </c>
      <c r="AA238" t="s">
        <v>424</v>
      </c>
      <c r="AJ238" t="s">
        <v>40</v>
      </c>
    </row>
    <row r="239" spans="1:36" x14ac:dyDescent="0.2">
      <c r="A239">
        <v>237</v>
      </c>
      <c r="B239" t="s">
        <v>550</v>
      </c>
      <c r="C239" t="s">
        <v>91</v>
      </c>
      <c r="E239" t="s">
        <v>736</v>
      </c>
      <c r="I239" t="b">
        <f t="shared" si="3"/>
        <v>0</v>
      </c>
      <c r="J239">
        <v>0</v>
      </c>
      <c r="K239">
        <v>0</v>
      </c>
      <c r="M239">
        <v>3.2569464296102517E-2</v>
      </c>
      <c r="N239">
        <v>2.9203765094280239E-2</v>
      </c>
      <c r="O239">
        <v>0</v>
      </c>
      <c r="P239">
        <v>0</v>
      </c>
      <c r="X239">
        <v>5</v>
      </c>
      <c r="Y239">
        <v>4</v>
      </c>
      <c r="Z239" t="s">
        <v>552</v>
      </c>
      <c r="AA239" t="s">
        <v>93</v>
      </c>
      <c r="AJ239" t="s">
        <v>48</v>
      </c>
    </row>
    <row r="240" spans="1:36" x14ac:dyDescent="0.2">
      <c r="A240">
        <v>238</v>
      </c>
      <c r="B240" t="s">
        <v>560</v>
      </c>
      <c r="C240" t="s">
        <v>457</v>
      </c>
      <c r="E240" t="s">
        <v>736</v>
      </c>
      <c r="I240" t="b">
        <f t="shared" si="3"/>
        <v>0</v>
      </c>
      <c r="J240">
        <v>0</v>
      </c>
      <c r="K240">
        <v>0</v>
      </c>
      <c r="M240">
        <v>2.8120687231421471E-2</v>
      </c>
      <c r="N240">
        <v>1.087749004364014E-2</v>
      </c>
      <c r="O240">
        <v>0</v>
      </c>
      <c r="P240">
        <v>0</v>
      </c>
      <c r="X240">
        <v>6</v>
      </c>
      <c r="Y240">
        <v>3</v>
      </c>
      <c r="Z240" t="s">
        <v>562</v>
      </c>
      <c r="AA240" t="s">
        <v>459</v>
      </c>
      <c r="AJ240" t="s">
        <v>48</v>
      </c>
    </row>
    <row r="241" spans="1:36" x14ac:dyDescent="0.2">
      <c r="A241">
        <v>239</v>
      </c>
      <c r="B241" t="s">
        <v>572</v>
      </c>
      <c r="C241" t="s">
        <v>34</v>
      </c>
      <c r="E241" t="s">
        <v>736</v>
      </c>
      <c r="I241" t="b">
        <f t="shared" si="3"/>
        <v>0</v>
      </c>
      <c r="J241">
        <v>0</v>
      </c>
      <c r="K241">
        <v>0</v>
      </c>
      <c r="M241">
        <v>1.2571472674608231E-2</v>
      </c>
      <c r="N241">
        <v>5.2999998442828664E-3</v>
      </c>
      <c r="O241">
        <v>0</v>
      </c>
      <c r="P241">
        <v>0</v>
      </c>
      <c r="X241">
        <v>6</v>
      </c>
      <c r="Y241">
        <v>3</v>
      </c>
      <c r="Z241" t="s">
        <v>573</v>
      </c>
      <c r="AA241" t="s">
        <v>37</v>
      </c>
      <c r="AJ241" t="s">
        <v>44</v>
      </c>
    </row>
    <row r="242" spans="1:36" x14ac:dyDescent="0.2">
      <c r="A242">
        <v>240</v>
      </c>
      <c r="B242" t="s">
        <v>580</v>
      </c>
      <c r="C242" t="s">
        <v>474</v>
      </c>
      <c r="E242" t="s">
        <v>736</v>
      </c>
      <c r="I242" t="b">
        <f t="shared" si="3"/>
        <v>0</v>
      </c>
      <c r="J242">
        <v>0</v>
      </c>
      <c r="K242">
        <v>0</v>
      </c>
      <c r="M242">
        <v>2.6848156005144119E-2</v>
      </c>
      <c r="N242">
        <v>2.542204596102238E-2</v>
      </c>
      <c r="O242">
        <v>0</v>
      </c>
      <c r="P242">
        <v>0</v>
      </c>
      <c r="X242">
        <v>5</v>
      </c>
      <c r="Y242">
        <v>6</v>
      </c>
      <c r="Z242" t="s">
        <v>582</v>
      </c>
      <c r="AA242" t="s">
        <v>476</v>
      </c>
      <c r="AJ242" t="s">
        <v>40</v>
      </c>
    </row>
    <row r="243" spans="1:36" x14ac:dyDescent="0.2">
      <c r="A243">
        <v>241</v>
      </c>
      <c r="B243" t="s">
        <v>591</v>
      </c>
      <c r="C243" t="s">
        <v>342</v>
      </c>
      <c r="E243" t="s">
        <v>736</v>
      </c>
      <c r="I243" t="b">
        <f t="shared" si="3"/>
        <v>0</v>
      </c>
      <c r="J243">
        <v>0</v>
      </c>
      <c r="K243">
        <v>0</v>
      </c>
      <c r="M243">
        <v>1.50322737172246E-2</v>
      </c>
      <c r="N243">
        <v>2.1452700719237331E-2</v>
      </c>
      <c r="O243">
        <v>0</v>
      </c>
      <c r="P243">
        <v>0</v>
      </c>
      <c r="X243">
        <v>4</v>
      </c>
      <c r="Y243">
        <v>5</v>
      </c>
      <c r="Z243" t="s">
        <v>593</v>
      </c>
      <c r="AA243" t="s">
        <v>346</v>
      </c>
      <c r="AJ243" t="s">
        <v>61</v>
      </c>
    </row>
    <row r="244" spans="1:36" x14ac:dyDescent="0.2">
      <c r="A244">
        <v>242</v>
      </c>
      <c r="B244" t="s">
        <v>601</v>
      </c>
      <c r="C244" t="s">
        <v>581</v>
      </c>
      <c r="E244" t="s">
        <v>736</v>
      </c>
      <c r="I244" t="b">
        <f t="shared" si="3"/>
        <v>0</v>
      </c>
      <c r="J244">
        <v>0</v>
      </c>
      <c r="K244">
        <v>0</v>
      </c>
      <c r="M244">
        <v>6.4749971032142639E-2</v>
      </c>
      <c r="N244">
        <v>3.0776472762227058E-2</v>
      </c>
      <c r="O244">
        <v>0</v>
      </c>
      <c r="P244">
        <v>0</v>
      </c>
      <c r="X244">
        <v>5</v>
      </c>
      <c r="Y244">
        <v>3</v>
      </c>
      <c r="Z244" t="s">
        <v>602</v>
      </c>
      <c r="AA244" t="s">
        <v>586</v>
      </c>
      <c r="AJ244" t="s">
        <v>61</v>
      </c>
    </row>
    <row r="245" spans="1:36" x14ac:dyDescent="0.2">
      <c r="A245">
        <v>243</v>
      </c>
      <c r="B245" t="s">
        <v>609</v>
      </c>
      <c r="C245" t="s">
        <v>551</v>
      </c>
      <c r="E245" t="s">
        <v>736</v>
      </c>
      <c r="I245" t="b">
        <f t="shared" si="3"/>
        <v>0</v>
      </c>
      <c r="J245">
        <v>0</v>
      </c>
      <c r="K245">
        <v>0</v>
      </c>
      <c r="M245">
        <v>9.163987822830677E-3</v>
      </c>
      <c r="N245">
        <v>4.5184572227299213E-3</v>
      </c>
      <c r="O245">
        <v>0</v>
      </c>
      <c r="P245">
        <v>0</v>
      </c>
      <c r="X245">
        <v>5</v>
      </c>
      <c r="Y245">
        <v>6</v>
      </c>
      <c r="Z245" t="s">
        <v>611</v>
      </c>
      <c r="AA245" t="s">
        <v>553</v>
      </c>
      <c r="AJ245" t="s">
        <v>44</v>
      </c>
    </row>
    <row r="246" spans="1:36" x14ac:dyDescent="0.2">
      <c r="A246">
        <v>244</v>
      </c>
      <c r="B246" t="s">
        <v>623</v>
      </c>
      <c r="C246" t="s">
        <v>287</v>
      </c>
      <c r="E246" t="s">
        <v>736</v>
      </c>
      <c r="I246" t="b">
        <f t="shared" si="3"/>
        <v>0</v>
      </c>
      <c r="J246">
        <v>0</v>
      </c>
      <c r="K246">
        <v>0</v>
      </c>
      <c r="M246">
        <v>3.1517293304204941E-2</v>
      </c>
      <c r="N246">
        <v>3.6719653755426407E-2</v>
      </c>
      <c r="O246">
        <v>0</v>
      </c>
      <c r="P246">
        <v>0</v>
      </c>
      <c r="X246">
        <v>5</v>
      </c>
      <c r="Y246">
        <v>5</v>
      </c>
      <c r="Z246" t="s">
        <v>629</v>
      </c>
      <c r="AA246" t="s">
        <v>289</v>
      </c>
      <c r="AJ246" t="s">
        <v>44</v>
      </c>
    </row>
    <row r="247" spans="1:36" x14ac:dyDescent="0.2">
      <c r="A247">
        <v>245</v>
      </c>
      <c r="B247" t="s">
        <v>634</v>
      </c>
      <c r="C247" t="s">
        <v>713</v>
      </c>
      <c r="E247" t="s">
        <v>736</v>
      </c>
      <c r="I247" t="b">
        <f t="shared" si="3"/>
        <v>0</v>
      </c>
      <c r="J247">
        <v>0</v>
      </c>
      <c r="K247">
        <v>0</v>
      </c>
      <c r="M247">
        <v>3.5022351890802383E-2</v>
      </c>
      <c r="N247">
        <v>2.3782571777701381E-2</v>
      </c>
      <c r="O247">
        <v>0</v>
      </c>
      <c r="P247">
        <v>0</v>
      </c>
      <c r="X247">
        <v>6</v>
      </c>
      <c r="Y247">
        <v>7</v>
      </c>
      <c r="Z247" t="s">
        <v>635</v>
      </c>
      <c r="AA247" t="s">
        <v>717</v>
      </c>
      <c r="AJ247" t="s">
        <v>48</v>
      </c>
    </row>
    <row r="248" spans="1:36" x14ac:dyDescent="0.2">
      <c r="A248">
        <v>246</v>
      </c>
      <c r="B248" t="s">
        <v>642</v>
      </c>
      <c r="C248" t="s">
        <v>50</v>
      </c>
      <c r="E248" t="s">
        <v>736</v>
      </c>
      <c r="I248" t="b">
        <f t="shared" si="3"/>
        <v>0</v>
      </c>
      <c r="J248">
        <v>0</v>
      </c>
      <c r="K248">
        <v>0</v>
      </c>
      <c r="M248">
        <v>9.2198681086301804E-3</v>
      </c>
      <c r="N248">
        <v>2.989999949932098E-2</v>
      </c>
      <c r="O248">
        <v>0</v>
      </c>
      <c r="P248">
        <v>0</v>
      </c>
      <c r="X248">
        <v>5</v>
      </c>
      <c r="Y248">
        <v>6</v>
      </c>
      <c r="Z248" t="s">
        <v>644</v>
      </c>
      <c r="AA248" t="s">
        <v>52</v>
      </c>
      <c r="AJ248" t="s">
        <v>61</v>
      </c>
    </row>
    <row r="249" spans="1:36" x14ac:dyDescent="0.2">
      <c r="A249">
        <v>247</v>
      </c>
      <c r="B249" t="s">
        <v>652</v>
      </c>
      <c r="C249" t="s">
        <v>443</v>
      </c>
      <c r="E249" t="s">
        <v>736</v>
      </c>
      <c r="I249" t="b">
        <f t="shared" si="3"/>
        <v>1</v>
      </c>
      <c r="J249">
        <v>0</v>
      </c>
      <c r="K249">
        <v>0</v>
      </c>
      <c r="M249">
        <v>1.128280907869339E-2</v>
      </c>
      <c r="N249">
        <v>1.834198459982872E-2</v>
      </c>
      <c r="O249">
        <v>0</v>
      </c>
      <c r="P249">
        <v>0</v>
      </c>
      <c r="X249">
        <v>5</v>
      </c>
      <c r="Y249">
        <v>6</v>
      </c>
      <c r="Z249" t="s">
        <v>654</v>
      </c>
      <c r="AA249" t="s">
        <v>449</v>
      </c>
      <c r="AJ249" t="s">
        <v>48</v>
      </c>
    </row>
    <row r="250" spans="1:36" x14ac:dyDescent="0.2">
      <c r="A250">
        <v>248</v>
      </c>
      <c r="B250" t="s">
        <v>663</v>
      </c>
      <c r="C250" t="s">
        <v>183</v>
      </c>
      <c r="E250" t="s">
        <v>736</v>
      </c>
      <c r="I250" t="b">
        <f t="shared" si="3"/>
        <v>0</v>
      </c>
      <c r="J250">
        <v>0</v>
      </c>
      <c r="K250">
        <v>0</v>
      </c>
      <c r="M250">
        <v>1.140929106622934E-2</v>
      </c>
      <c r="N250">
        <v>8.9801140129566193E-3</v>
      </c>
      <c r="O250">
        <v>0</v>
      </c>
      <c r="P250">
        <v>0</v>
      </c>
      <c r="X250">
        <v>6</v>
      </c>
      <c r="Y250">
        <v>6</v>
      </c>
      <c r="Z250" t="s">
        <v>669</v>
      </c>
      <c r="AA250" t="s">
        <v>187</v>
      </c>
      <c r="AJ250" t="s">
        <v>40</v>
      </c>
    </row>
    <row r="251" spans="1:36" x14ac:dyDescent="0.2">
      <c r="A251">
        <v>249</v>
      </c>
      <c r="B251" t="s">
        <v>676</v>
      </c>
      <c r="C251" t="s">
        <v>728</v>
      </c>
      <c r="E251" t="s">
        <v>736</v>
      </c>
      <c r="I251" t="b">
        <f t="shared" si="3"/>
        <v>1</v>
      </c>
      <c r="J251">
        <v>0</v>
      </c>
      <c r="K251">
        <v>0</v>
      </c>
      <c r="M251">
        <v>3.153819357976317E-3</v>
      </c>
      <c r="N251">
        <v>4.1000000201165676E-3</v>
      </c>
      <c r="O251">
        <v>0</v>
      </c>
      <c r="P251">
        <v>0</v>
      </c>
      <c r="X251">
        <v>5</v>
      </c>
      <c r="Y251">
        <v>7</v>
      </c>
      <c r="Z251" t="s">
        <v>677</v>
      </c>
      <c r="AA251" t="s">
        <v>730</v>
      </c>
      <c r="AJ251" t="s">
        <v>44</v>
      </c>
    </row>
    <row r="252" spans="1:36" x14ac:dyDescent="0.2">
      <c r="A252">
        <v>250</v>
      </c>
      <c r="B252" t="s">
        <v>683</v>
      </c>
      <c r="C252" t="s">
        <v>363</v>
      </c>
      <c r="E252" t="s">
        <v>736</v>
      </c>
      <c r="I252" t="b">
        <f t="shared" si="3"/>
        <v>0</v>
      </c>
      <c r="J252">
        <v>0</v>
      </c>
      <c r="K252">
        <v>0</v>
      </c>
      <c r="M252">
        <v>4.001762717962265E-2</v>
      </c>
      <c r="N252">
        <v>1.380000077188015E-2</v>
      </c>
      <c r="O252">
        <v>0</v>
      </c>
      <c r="P252">
        <v>0</v>
      </c>
      <c r="X252">
        <v>6</v>
      </c>
      <c r="Y252">
        <v>5</v>
      </c>
      <c r="Z252" t="s">
        <v>685</v>
      </c>
      <c r="AA252" t="s">
        <v>739</v>
      </c>
      <c r="AJ252" t="s">
        <v>40</v>
      </c>
    </row>
    <row r="253" spans="1:36" x14ac:dyDescent="0.2">
      <c r="A253">
        <v>251</v>
      </c>
      <c r="B253" t="s">
        <v>694</v>
      </c>
      <c r="C253" t="s">
        <v>207</v>
      </c>
      <c r="E253" t="s">
        <v>736</v>
      </c>
      <c r="I253" t="b">
        <f t="shared" si="3"/>
        <v>0</v>
      </c>
      <c r="J253">
        <v>0</v>
      </c>
      <c r="K253">
        <v>0</v>
      </c>
      <c r="M253">
        <v>2.4113813415169719E-2</v>
      </c>
      <c r="N253">
        <v>1.103947963565588E-2</v>
      </c>
      <c r="O253">
        <v>0</v>
      </c>
      <c r="P253">
        <v>0</v>
      </c>
      <c r="X253">
        <v>6</v>
      </c>
      <c r="Y253">
        <v>5</v>
      </c>
      <c r="Z253" t="s">
        <v>699</v>
      </c>
      <c r="AA253" t="s">
        <v>213</v>
      </c>
      <c r="AJ253" t="s">
        <v>40</v>
      </c>
    </row>
    <row r="254" spans="1:36" x14ac:dyDescent="0.2">
      <c r="A254">
        <v>252</v>
      </c>
      <c r="B254" t="s">
        <v>703</v>
      </c>
      <c r="C254" t="s">
        <v>653</v>
      </c>
      <c r="E254" t="s">
        <v>736</v>
      </c>
      <c r="I254" t="b">
        <f t="shared" si="3"/>
        <v>0</v>
      </c>
      <c r="J254">
        <v>0</v>
      </c>
      <c r="K254">
        <v>0</v>
      </c>
      <c r="M254">
        <v>2.6959376409649849E-2</v>
      </c>
      <c r="N254">
        <v>2.1298963576555249E-2</v>
      </c>
      <c r="O254">
        <v>0</v>
      </c>
      <c r="P254">
        <v>0</v>
      </c>
      <c r="X254">
        <v>4</v>
      </c>
      <c r="Y254">
        <v>6</v>
      </c>
      <c r="Z254" t="s">
        <v>704</v>
      </c>
      <c r="AA254" t="s">
        <v>655</v>
      </c>
      <c r="AJ254" t="s">
        <v>40</v>
      </c>
    </row>
    <row r="255" spans="1:36" x14ac:dyDescent="0.2">
      <c r="A255">
        <v>253</v>
      </c>
      <c r="B255" t="s">
        <v>712</v>
      </c>
      <c r="C255" t="s">
        <v>193</v>
      </c>
      <c r="E255" t="s">
        <v>736</v>
      </c>
      <c r="I255" t="b">
        <f t="shared" si="3"/>
        <v>1</v>
      </c>
      <c r="J255">
        <v>0</v>
      </c>
      <c r="K255">
        <v>0</v>
      </c>
      <c r="M255">
        <v>2.325908467173576E-2</v>
      </c>
      <c r="N255">
        <v>1.237591542303562E-2</v>
      </c>
      <c r="O255">
        <v>0</v>
      </c>
      <c r="P255">
        <v>0</v>
      </c>
      <c r="X255">
        <v>6</v>
      </c>
      <c r="Y255">
        <v>5</v>
      </c>
      <c r="Z255" t="s">
        <v>714</v>
      </c>
      <c r="AA255" t="s">
        <v>199</v>
      </c>
      <c r="AJ255" t="s">
        <v>61</v>
      </c>
    </row>
    <row r="256" spans="1:36" x14ac:dyDescent="0.2">
      <c r="A256">
        <v>254</v>
      </c>
      <c r="B256" t="s">
        <v>720</v>
      </c>
      <c r="C256" t="s">
        <v>664</v>
      </c>
      <c r="E256" t="s">
        <v>736</v>
      </c>
      <c r="I256" t="b">
        <f t="shared" si="3"/>
        <v>1</v>
      </c>
      <c r="J256">
        <v>0</v>
      </c>
      <c r="K256">
        <v>0</v>
      </c>
      <c r="M256">
        <v>6.6315703094005585E-2</v>
      </c>
      <c r="N256">
        <v>6.4461971633136272E-3</v>
      </c>
      <c r="O256">
        <v>0</v>
      </c>
      <c r="P256">
        <v>0</v>
      </c>
      <c r="X256">
        <v>6</v>
      </c>
      <c r="Y256">
        <v>5</v>
      </c>
      <c r="Z256" t="s">
        <v>722</v>
      </c>
      <c r="AA256" t="s">
        <v>738</v>
      </c>
      <c r="AJ256" t="s">
        <v>48</v>
      </c>
    </row>
    <row r="257" spans="1:36" x14ac:dyDescent="0.2">
      <c r="A257">
        <v>255</v>
      </c>
      <c r="B257" t="s">
        <v>727</v>
      </c>
      <c r="C257" t="s">
        <v>561</v>
      </c>
      <c r="E257" t="s">
        <v>736</v>
      </c>
      <c r="I257" t="b">
        <f t="shared" si="3"/>
        <v>0</v>
      </c>
      <c r="J257">
        <v>0</v>
      </c>
      <c r="K257">
        <v>0</v>
      </c>
      <c r="M257">
        <v>1.289214286953211E-2</v>
      </c>
      <c r="N257">
        <v>8.1641878932714462E-3</v>
      </c>
      <c r="O257">
        <v>0</v>
      </c>
      <c r="P257">
        <v>0</v>
      </c>
      <c r="X257">
        <v>6</v>
      </c>
      <c r="Y257">
        <v>6</v>
      </c>
      <c r="Z257" t="s">
        <v>732</v>
      </c>
      <c r="AA257" t="s">
        <v>563</v>
      </c>
      <c r="AJ257" t="s">
        <v>44</v>
      </c>
    </row>
    <row r="260" spans="1:36" ht="16" x14ac:dyDescent="0.2">
      <c r="A260" s="4" t="s">
        <v>778</v>
      </c>
    </row>
    <row r="261" spans="1:36" x14ac:dyDescent="0.2">
      <c r="A261" s="2" t="s">
        <v>779</v>
      </c>
      <c r="B261">
        <f>COUNTA($B$2:$B$257)/4</f>
        <v>64</v>
      </c>
    </row>
    <row r="262" spans="1:36" x14ac:dyDescent="0.2">
      <c r="A262" s="2" t="s">
        <v>780</v>
      </c>
      <c r="B262">
        <f>COUNTIF($I$2:$I$257,TRUE)/4</f>
        <v>20</v>
      </c>
      <c r="C262" t="s">
        <v>781</v>
      </c>
    </row>
  </sheetData>
  <conditionalFormatting sqref="D1:D1048576 H1:H1048576">
    <cfRule type="containsText" dxfId="3" priority="2" operator="containsText" text="y">
      <formula>NOT(ISERROR(SEARCH("y",D1)))</formula>
    </cfRule>
  </conditionalFormatting>
  <conditionalFormatting sqref="A1:AJ257">
    <cfRule type="expression" dxfId="2" priority="1">
      <formula>$I1=TRUE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60D5-4E88-D247-92AB-082B8FF2A186}">
  <dimension ref="A1:B1032226"/>
  <sheetViews>
    <sheetView zoomScale="131" workbookViewId="0">
      <pane ySplit="1" topLeftCell="A2" activePane="bottomLeft" state="frozen"/>
      <selection pane="bottomLeft" activeCell="A11" sqref="A11"/>
    </sheetView>
  </sheetViews>
  <sheetFormatPr baseColWidth="10" defaultRowHeight="15" x14ac:dyDescent="0.2"/>
  <cols>
    <col min="1" max="1" width="25.83203125" bestFit="1" customWidth="1"/>
    <col min="2" max="2" width="37.83203125" customWidth="1"/>
  </cols>
  <sheetData>
    <row r="1" spans="1:2" x14ac:dyDescent="0.2">
      <c r="A1" t="s">
        <v>742</v>
      </c>
      <c r="B1" t="s">
        <v>743</v>
      </c>
    </row>
    <row r="2" spans="1:2" ht="18" customHeight="1" x14ac:dyDescent="0.2">
      <c r="A2" s="1" t="s">
        <v>0</v>
      </c>
      <c r="B2" s="1" t="s">
        <v>744</v>
      </c>
    </row>
    <row r="3" spans="1:2" ht="18" customHeight="1" x14ac:dyDescent="0.2">
      <c r="A3" s="1" t="s">
        <v>1</v>
      </c>
      <c r="B3" s="1" t="s">
        <v>745</v>
      </c>
    </row>
    <row r="4" spans="1:2" ht="18" customHeight="1" x14ac:dyDescent="0.2">
      <c r="A4" s="1" t="s">
        <v>2</v>
      </c>
      <c r="B4" s="1" t="s">
        <v>746</v>
      </c>
    </row>
    <row r="5" spans="1:2" ht="18" customHeight="1" x14ac:dyDescent="0.2">
      <c r="A5" s="1" t="s">
        <v>3</v>
      </c>
      <c r="B5" s="1" t="s">
        <v>747</v>
      </c>
    </row>
    <row r="6" spans="1:2" ht="18" customHeight="1" x14ac:dyDescent="0.2">
      <c r="A6" s="1" t="s">
        <v>4</v>
      </c>
      <c r="B6" s="1" t="s">
        <v>748</v>
      </c>
    </row>
    <row r="7" spans="1:2" ht="18" customHeight="1" x14ac:dyDescent="0.2">
      <c r="A7" s="1" t="s">
        <v>5</v>
      </c>
      <c r="B7" s="1" t="s">
        <v>749</v>
      </c>
    </row>
    <row r="8" spans="1:2" ht="18" customHeight="1" x14ac:dyDescent="0.2">
      <c r="A8" s="1" t="s">
        <v>6</v>
      </c>
      <c r="B8" s="1" t="s">
        <v>753</v>
      </c>
    </row>
    <row r="9" spans="1:2" ht="18" customHeight="1" x14ac:dyDescent="0.2">
      <c r="A9" s="1" t="s">
        <v>7</v>
      </c>
      <c r="B9" s="1" t="s">
        <v>750</v>
      </c>
    </row>
    <row r="10" spans="1:2" ht="18" customHeight="1" x14ac:dyDescent="0.2">
      <c r="A10" s="1" t="s">
        <v>8</v>
      </c>
      <c r="B10" s="1" t="s">
        <v>751</v>
      </c>
    </row>
    <row r="11" spans="1:2" ht="18" customHeight="1" x14ac:dyDescent="0.2">
      <c r="A11" s="1" t="s">
        <v>9</v>
      </c>
      <c r="B11" s="1" t="s">
        <v>763</v>
      </c>
    </row>
    <row r="12" spans="1:2" ht="18" customHeight="1" x14ac:dyDescent="0.2">
      <c r="A12" s="1" t="s">
        <v>10</v>
      </c>
      <c r="B12" s="1" t="s">
        <v>752</v>
      </c>
    </row>
    <row r="13" spans="1:2" ht="18" customHeight="1" x14ac:dyDescent="0.2">
      <c r="A13" s="1" t="s">
        <v>11</v>
      </c>
      <c r="B13" s="1" t="s">
        <v>754</v>
      </c>
    </row>
    <row r="14" spans="1:2" ht="18" customHeight="1" x14ac:dyDescent="0.2">
      <c r="A14" s="1" t="s">
        <v>12</v>
      </c>
      <c r="B14" s="1" t="s">
        <v>755</v>
      </c>
    </row>
    <row r="15" spans="1:2" ht="18" customHeight="1" x14ac:dyDescent="0.2">
      <c r="A15" s="1" t="s">
        <v>13</v>
      </c>
      <c r="B15" s="1" t="s">
        <v>756</v>
      </c>
    </row>
    <row r="16" spans="1:2" ht="18" customHeight="1" x14ac:dyDescent="0.2">
      <c r="A16" s="1" t="s">
        <v>14</v>
      </c>
      <c r="B16" s="1" t="s">
        <v>757</v>
      </c>
    </row>
    <row r="17" spans="1:2" ht="18" customHeight="1" x14ac:dyDescent="0.2">
      <c r="A17" s="1" t="s">
        <v>15</v>
      </c>
      <c r="B17" s="1" t="s">
        <v>758</v>
      </c>
    </row>
    <row r="18" spans="1:2" ht="18" customHeight="1" x14ac:dyDescent="0.2">
      <c r="A18" s="1" t="s">
        <v>16</v>
      </c>
      <c r="B18" s="1" t="s">
        <v>759</v>
      </c>
    </row>
    <row r="19" spans="1:2" ht="18" customHeight="1" x14ac:dyDescent="0.2">
      <c r="A19" s="1" t="s">
        <v>17</v>
      </c>
      <c r="B19" s="1" t="s">
        <v>760</v>
      </c>
    </row>
    <row r="20" spans="1:2" ht="18" customHeight="1" x14ac:dyDescent="0.2">
      <c r="A20" s="1" t="s">
        <v>18</v>
      </c>
      <c r="B20" s="1" t="s">
        <v>761</v>
      </c>
    </row>
    <row r="21" spans="1:2" ht="18" customHeight="1" x14ac:dyDescent="0.2">
      <c r="A21" s="1" t="s">
        <v>19</v>
      </c>
      <c r="B21" s="1" t="s">
        <v>762</v>
      </c>
    </row>
    <row r="22" spans="1:2" ht="18" customHeight="1" x14ac:dyDescent="0.2">
      <c r="A22" s="1" t="s">
        <v>20</v>
      </c>
      <c r="B22" s="1" t="s">
        <v>764</v>
      </c>
    </row>
    <row r="23" spans="1:2" ht="18" customHeight="1" x14ac:dyDescent="0.2">
      <c r="A23" s="1" t="s">
        <v>21</v>
      </c>
      <c r="B23" s="1" t="s">
        <v>765</v>
      </c>
    </row>
    <row r="24" spans="1:2" ht="18" customHeight="1" x14ac:dyDescent="0.2">
      <c r="A24" s="1" t="s">
        <v>22</v>
      </c>
      <c r="B24" s="1" t="s">
        <v>766</v>
      </c>
    </row>
    <row r="25" spans="1:2" ht="18" customHeight="1" x14ac:dyDescent="0.2">
      <c r="A25" s="1" t="s">
        <v>23</v>
      </c>
      <c r="B25" s="1" t="s">
        <v>767</v>
      </c>
    </row>
    <row r="26" spans="1:2" ht="18" customHeight="1" x14ac:dyDescent="0.2">
      <c r="A26" s="1" t="s">
        <v>24</v>
      </c>
      <c r="B26" s="1" t="s">
        <v>768</v>
      </c>
    </row>
    <row r="27" spans="1:2" ht="18" customHeight="1" x14ac:dyDescent="0.2">
      <c r="A27" s="1" t="s">
        <v>25</v>
      </c>
      <c r="B27" s="1" t="s">
        <v>768</v>
      </c>
    </row>
    <row r="28" spans="1:2" ht="18" customHeight="1" x14ac:dyDescent="0.2">
      <c r="A28" s="1" t="s">
        <v>26</v>
      </c>
      <c r="B28" s="1" t="s">
        <v>769</v>
      </c>
    </row>
    <row r="29" spans="1:2" ht="18" customHeight="1" x14ac:dyDescent="0.2">
      <c r="A29" s="1" t="s">
        <v>27</v>
      </c>
      <c r="B29" s="1" t="s">
        <v>770</v>
      </c>
    </row>
    <row r="30" spans="1:2" ht="18" customHeight="1" x14ac:dyDescent="0.2">
      <c r="A30" s="1" t="s">
        <v>28</v>
      </c>
      <c r="B30" s="1" t="s">
        <v>770</v>
      </c>
    </row>
    <row r="31" spans="1:2" ht="18" customHeight="1" x14ac:dyDescent="0.2">
      <c r="A31" s="1" t="s">
        <v>29</v>
      </c>
      <c r="B31" s="1" t="s">
        <v>771</v>
      </c>
    </row>
    <row r="32" spans="1:2" ht="18" customHeight="1" x14ac:dyDescent="0.2">
      <c r="A32" s="1" t="s">
        <v>30</v>
      </c>
      <c r="B32" s="1" t="s">
        <v>772</v>
      </c>
    </row>
    <row r="33" spans="1:2" ht="18" customHeight="1" x14ac:dyDescent="0.2">
      <c r="A33" s="1" t="s">
        <v>31</v>
      </c>
      <c r="B33" s="1" t="s">
        <v>773</v>
      </c>
    </row>
    <row r="34" spans="1:2" ht="18" customHeight="1" x14ac:dyDescent="0.2">
      <c r="A34" s="1" t="s">
        <v>32</v>
      </c>
      <c r="B34" s="1" t="s">
        <v>774</v>
      </c>
    </row>
    <row r="16386" spans="1:1" x14ac:dyDescent="0.2">
      <c r="A16386" t="s">
        <v>0</v>
      </c>
    </row>
    <row r="16387" spans="1:1" x14ac:dyDescent="0.2">
      <c r="A16387" t="s">
        <v>1</v>
      </c>
    </row>
    <row r="16388" spans="1:1" x14ac:dyDescent="0.2">
      <c r="A16388" t="s">
        <v>2</v>
      </c>
    </row>
    <row r="16389" spans="1:1" x14ac:dyDescent="0.2">
      <c r="A16389" t="s">
        <v>3</v>
      </c>
    </row>
    <row r="16390" spans="1:1" x14ac:dyDescent="0.2">
      <c r="A16390" t="s">
        <v>4</v>
      </c>
    </row>
    <row r="16391" spans="1:1" x14ac:dyDescent="0.2">
      <c r="A16391" t="s">
        <v>5</v>
      </c>
    </row>
    <row r="16392" spans="1:1" x14ac:dyDescent="0.2">
      <c r="A16392" t="s">
        <v>6</v>
      </c>
    </row>
    <row r="16393" spans="1:1" x14ac:dyDescent="0.2">
      <c r="A16393" t="s">
        <v>7</v>
      </c>
    </row>
    <row r="16394" spans="1:1" x14ac:dyDescent="0.2">
      <c r="A16394" t="s">
        <v>8</v>
      </c>
    </row>
    <row r="16395" spans="1:1" x14ac:dyDescent="0.2">
      <c r="A16395" t="s">
        <v>9</v>
      </c>
    </row>
    <row r="16396" spans="1:1" x14ac:dyDescent="0.2">
      <c r="A16396" t="s">
        <v>10</v>
      </c>
    </row>
    <row r="16397" spans="1:1" x14ac:dyDescent="0.2">
      <c r="A16397" t="s">
        <v>11</v>
      </c>
    </row>
    <row r="16398" spans="1:1" x14ac:dyDescent="0.2">
      <c r="A16398" t="s">
        <v>12</v>
      </c>
    </row>
    <row r="16399" spans="1:1" x14ac:dyDescent="0.2">
      <c r="A16399" t="s">
        <v>13</v>
      </c>
    </row>
    <row r="16400" spans="1:1" x14ac:dyDescent="0.2">
      <c r="A16400" t="s">
        <v>14</v>
      </c>
    </row>
    <row r="16401" spans="1:1" x14ac:dyDescent="0.2">
      <c r="A16401" t="s">
        <v>15</v>
      </c>
    </row>
    <row r="16402" spans="1:1" x14ac:dyDescent="0.2">
      <c r="A16402" t="s">
        <v>16</v>
      </c>
    </row>
    <row r="16403" spans="1:1" x14ac:dyDescent="0.2">
      <c r="A16403" t="s">
        <v>17</v>
      </c>
    </row>
    <row r="16404" spans="1:1" x14ac:dyDescent="0.2">
      <c r="A16404" t="s">
        <v>18</v>
      </c>
    </row>
    <row r="16405" spans="1:1" x14ac:dyDescent="0.2">
      <c r="A16405" t="s">
        <v>19</v>
      </c>
    </row>
    <row r="16406" spans="1:1" x14ac:dyDescent="0.2">
      <c r="A16406" t="s">
        <v>20</v>
      </c>
    </row>
    <row r="16407" spans="1:1" x14ac:dyDescent="0.2">
      <c r="A16407" t="s">
        <v>21</v>
      </c>
    </row>
    <row r="16408" spans="1:1" x14ac:dyDescent="0.2">
      <c r="A16408" t="s">
        <v>22</v>
      </c>
    </row>
    <row r="16409" spans="1:1" x14ac:dyDescent="0.2">
      <c r="A16409" t="s">
        <v>23</v>
      </c>
    </row>
    <row r="16410" spans="1:1" x14ac:dyDescent="0.2">
      <c r="A16410" t="s">
        <v>24</v>
      </c>
    </row>
    <row r="16411" spans="1:1" x14ac:dyDescent="0.2">
      <c r="A16411" t="s">
        <v>25</v>
      </c>
    </row>
    <row r="16412" spans="1:1" x14ac:dyDescent="0.2">
      <c r="A16412" t="s">
        <v>26</v>
      </c>
    </row>
    <row r="16413" spans="1:1" x14ac:dyDescent="0.2">
      <c r="A16413" t="s">
        <v>27</v>
      </c>
    </row>
    <row r="16414" spans="1:1" x14ac:dyDescent="0.2">
      <c r="A16414" t="s">
        <v>28</v>
      </c>
    </row>
    <row r="16415" spans="1:1" x14ac:dyDescent="0.2">
      <c r="A16415" t="s">
        <v>29</v>
      </c>
    </row>
    <row r="16416" spans="1:1" x14ac:dyDescent="0.2">
      <c r="A16416" t="s">
        <v>30</v>
      </c>
    </row>
    <row r="16417" spans="1:1" x14ac:dyDescent="0.2">
      <c r="A16417" t="s">
        <v>31</v>
      </c>
    </row>
    <row r="16418" spans="1:1" x14ac:dyDescent="0.2">
      <c r="A16418" t="s">
        <v>32</v>
      </c>
    </row>
    <row r="32770" spans="1:1" x14ac:dyDescent="0.2">
      <c r="A32770" t="s">
        <v>0</v>
      </c>
    </row>
    <row r="32771" spans="1:1" x14ac:dyDescent="0.2">
      <c r="A32771" t="s">
        <v>1</v>
      </c>
    </row>
    <row r="32772" spans="1:1" x14ac:dyDescent="0.2">
      <c r="A32772" t="s">
        <v>2</v>
      </c>
    </row>
    <row r="32773" spans="1:1" x14ac:dyDescent="0.2">
      <c r="A32773" t="s">
        <v>3</v>
      </c>
    </row>
    <row r="32774" spans="1:1" x14ac:dyDescent="0.2">
      <c r="A32774" t="s">
        <v>4</v>
      </c>
    </row>
    <row r="32775" spans="1:1" x14ac:dyDescent="0.2">
      <c r="A32775" t="s">
        <v>5</v>
      </c>
    </row>
    <row r="32776" spans="1:1" x14ac:dyDescent="0.2">
      <c r="A32776" t="s">
        <v>6</v>
      </c>
    </row>
    <row r="32777" spans="1:1" x14ac:dyDescent="0.2">
      <c r="A32777" t="s">
        <v>7</v>
      </c>
    </row>
    <row r="32778" spans="1:1" x14ac:dyDescent="0.2">
      <c r="A32778" t="s">
        <v>8</v>
      </c>
    </row>
    <row r="32779" spans="1:1" x14ac:dyDescent="0.2">
      <c r="A32779" t="s">
        <v>9</v>
      </c>
    </row>
    <row r="32780" spans="1:1" x14ac:dyDescent="0.2">
      <c r="A32780" t="s">
        <v>10</v>
      </c>
    </row>
    <row r="32781" spans="1:1" x14ac:dyDescent="0.2">
      <c r="A32781" t="s">
        <v>11</v>
      </c>
    </row>
    <row r="32782" spans="1:1" x14ac:dyDescent="0.2">
      <c r="A32782" t="s">
        <v>12</v>
      </c>
    </row>
    <row r="32783" spans="1:1" x14ac:dyDescent="0.2">
      <c r="A32783" t="s">
        <v>13</v>
      </c>
    </row>
    <row r="32784" spans="1:1" x14ac:dyDescent="0.2">
      <c r="A32784" t="s">
        <v>14</v>
      </c>
    </row>
    <row r="32785" spans="1:1" x14ac:dyDescent="0.2">
      <c r="A32785" t="s">
        <v>15</v>
      </c>
    </row>
    <row r="32786" spans="1:1" x14ac:dyDescent="0.2">
      <c r="A32786" t="s">
        <v>16</v>
      </c>
    </row>
    <row r="32787" spans="1:1" x14ac:dyDescent="0.2">
      <c r="A32787" t="s">
        <v>17</v>
      </c>
    </row>
    <row r="32788" spans="1:1" x14ac:dyDescent="0.2">
      <c r="A32788" t="s">
        <v>18</v>
      </c>
    </row>
    <row r="32789" spans="1:1" x14ac:dyDescent="0.2">
      <c r="A32789" t="s">
        <v>19</v>
      </c>
    </row>
    <row r="32790" spans="1:1" x14ac:dyDescent="0.2">
      <c r="A32790" t="s">
        <v>20</v>
      </c>
    </row>
    <row r="32791" spans="1:1" x14ac:dyDescent="0.2">
      <c r="A32791" t="s">
        <v>21</v>
      </c>
    </row>
    <row r="32792" spans="1:1" x14ac:dyDescent="0.2">
      <c r="A32792" t="s">
        <v>22</v>
      </c>
    </row>
    <row r="32793" spans="1:1" x14ac:dyDescent="0.2">
      <c r="A32793" t="s">
        <v>23</v>
      </c>
    </row>
    <row r="32794" spans="1:1" x14ac:dyDescent="0.2">
      <c r="A32794" t="s">
        <v>24</v>
      </c>
    </row>
    <row r="32795" spans="1:1" x14ac:dyDescent="0.2">
      <c r="A32795" t="s">
        <v>25</v>
      </c>
    </row>
    <row r="32796" spans="1:1" x14ac:dyDescent="0.2">
      <c r="A32796" t="s">
        <v>26</v>
      </c>
    </row>
    <row r="32797" spans="1:1" x14ac:dyDescent="0.2">
      <c r="A32797" t="s">
        <v>27</v>
      </c>
    </row>
    <row r="32798" spans="1:1" x14ac:dyDescent="0.2">
      <c r="A32798" t="s">
        <v>28</v>
      </c>
    </row>
    <row r="32799" spans="1:1" x14ac:dyDescent="0.2">
      <c r="A32799" t="s">
        <v>29</v>
      </c>
    </row>
    <row r="32800" spans="1:1" x14ac:dyDescent="0.2">
      <c r="A32800" t="s">
        <v>30</v>
      </c>
    </row>
    <row r="32801" spans="1:1" x14ac:dyDescent="0.2">
      <c r="A32801" t="s">
        <v>31</v>
      </c>
    </row>
    <row r="32802" spans="1:1" x14ac:dyDescent="0.2">
      <c r="A32802" t="s">
        <v>32</v>
      </c>
    </row>
    <row r="49154" spans="1:1" x14ac:dyDescent="0.2">
      <c r="A49154" t="s">
        <v>0</v>
      </c>
    </row>
    <row r="49155" spans="1:1" x14ac:dyDescent="0.2">
      <c r="A49155" t="s">
        <v>1</v>
      </c>
    </row>
    <row r="49156" spans="1:1" x14ac:dyDescent="0.2">
      <c r="A49156" t="s">
        <v>2</v>
      </c>
    </row>
    <row r="49157" spans="1:1" x14ac:dyDescent="0.2">
      <c r="A49157" t="s">
        <v>3</v>
      </c>
    </row>
    <row r="49158" spans="1:1" x14ac:dyDescent="0.2">
      <c r="A49158" t="s">
        <v>4</v>
      </c>
    </row>
    <row r="49159" spans="1:1" x14ac:dyDescent="0.2">
      <c r="A49159" t="s">
        <v>5</v>
      </c>
    </row>
    <row r="49160" spans="1:1" x14ac:dyDescent="0.2">
      <c r="A49160" t="s">
        <v>6</v>
      </c>
    </row>
    <row r="49161" spans="1:1" x14ac:dyDescent="0.2">
      <c r="A49161" t="s">
        <v>7</v>
      </c>
    </row>
    <row r="49162" spans="1:1" x14ac:dyDescent="0.2">
      <c r="A49162" t="s">
        <v>8</v>
      </c>
    </row>
    <row r="49163" spans="1:1" x14ac:dyDescent="0.2">
      <c r="A49163" t="s">
        <v>9</v>
      </c>
    </row>
    <row r="49164" spans="1:1" x14ac:dyDescent="0.2">
      <c r="A49164" t="s">
        <v>10</v>
      </c>
    </row>
    <row r="49165" spans="1:1" x14ac:dyDescent="0.2">
      <c r="A49165" t="s">
        <v>11</v>
      </c>
    </row>
    <row r="49166" spans="1:1" x14ac:dyDescent="0.2">
      <c r="A49166" t="s">
        <v>12</v>
      </c>
    </row>
    <row r="49167" spans="1:1" x14ac:dyDescent="0.2">
      <c r="A49167" t="s">
        <v>13</v>
      </c>
    </row>
    <row r="49168" spans="1:1" x14ac:dyDescent="0.2">
      <c r="A49168" t="s">
        <v>14</v>
      </c>
    </row>
    <row r="49169" spans="1:1" x14ac:dyDescent="0.2">
      <c r="A49169" t="s">
        <v>15</v>
      </c>
    </row>
    <row r="49170" spans="1:1" x14ac:dyDescent="0.2">
      <c r="A49170" t="s">
        <v>16</v>
      </c>
    </row>
    <row r="49171" spans="1:1" x14ac:dyDescent="0.2">
      <c r="A49171" t="s">
        <v>17</v>
      </c>
    </row>
    <row r="49172" spans="1:1" x14ac:dyDescent="0.2">
      <c r="A49172" t="s">
        <v>18</v>
      </c>
    </row>
    <row r="49173" spans="1:1" x14ac:dyDescent="0.2">
      <c r="A49173" t="s">
        <v>19</v>
      </c>
    </row>
    <row r="49174" spans="1:1" x14ac:dyDescent="0.2">
      <c r="A49174" t="s">
        <v>20</v>
      </c>
    </row>
    <row r="49175" spans="1:1" x14ac:dyDescent="0.2">
      <c r="A49175" t="s">
        <v>21</v>
      </c>
    </row>
    <row r="49176" spans="1:1" x14ac:dyDescent="0.2">
      <c r="A49176" t="s">
        <v>22</v>
      </c>
    </row>
    <row r="49177" spans="1:1" x14ac:dyDescent="0.2">
      <c r="A49177" t="s">
        <v>23</v>
      </c>
    </row>
    <row r="49178" spans="1:1" x14ac:dyDescent="0.2">
      <c r="A49178" t="s">
        <v>24</v>
      </c>
    </row>
    <row r="49179" spans="1:1" x14ac:dyDescent="0.2">
      <c r="A49179" t="s">
        <v>25</v>
      </c>
    </row>
    <row r="49180" spans="1:1" x14ac:dyDescent="0.2">
      <c r="A49180" t="s">
        <v>26</v>
      </c>
    </row>
    <row r="49181" spans="1:1" x14ac:dyDescent="0.2">
      <c r="A49181" t="s">
        <v>27</v>
      </c>
    </row>
    <row r="49182" spans="1:1" x14ac:dyDescent="0.2">
      <c r="A49182" t="s">
        <v>28</v>
      </c>
    </row>
    <row r="49183" spans="1:1" x14ac:dyDescent="0.2">
      <c r="A49183" t="s">
        <v>29</v>
      </c>
    </row>
    <row r="49184" spans="1:1" x14ac:dyDescent="0.2">
      <c r="A49184" t="s">
        <v>30</v>
      </c>
    </row>
    <row r="49185" spans="1:1" x14ac:dyDescent="0.2">
      <c r="A49185" t="s">
        <v>31</v>
      </c>
    </row>
    <row r="49186" spans="1:1" x14ac:dyDescent="0.2">
      <c r="A49186" t="s">
        <v>32</v>
      </c>
    </row>
    <row r="65538" spans="1:1" x14ac:dyDescent="0.2">
      <c r="A65538" t="s">
        <v>0</v>
      </c>
    </row>
    <row r="65539" spans="1:1" x14ac:dyDescent="0.2">
      <c r="A65539" t="s">
        <v>1</v>
      </c>
    </row>
    <row r="65540" spans="1:1" x14ac:dyDescent="0.2">
      <c r="A65540" t="s">
        <v>2</v>
      </c>
    </row>
    <row r="65541" spans="1:1" x14ac:dyDescent="0.2">
      <c r="A65541" t="s">
        <v>3</v>
      </c>
    </row>
    <row r="65542" spans="1:1" x14ac:dyDescent="0.2">
      <c r="A65542" t="s">
        <v>4</v>
      </c>
    </row>
    <row r="65543" spans="1:1" x14ac:dyDescent="0.2">
      <c r="A65543" t="s">
        <v>5</v>
      </c>
    </row>
    <row r="65544" spans="1:1" x14ac:dyDescent="0.2">
      <c r="A65544" t="s">
        <v>6</v>
      </c>
    </row>
    <row r="65545" spans="1:1" x14ac:dyDescent="0.2">
      <c r="A65545" t="s">
        <v>7</v>
      </c>
    </row>
    <row r="65546" spans="1:1" x14ac:dyDescent="0.2">
      <c r="A65546" t="s">
        <v>8</v>
      </c>
    </row>
    <row r="65547" spans="1:1" x14ac:dyDescent="0.2">
      <c r="A65547" t="s">
        <v>9</v>
      </c>
    </row>
    <row r="65548" spans="1:1" x14ac:dyDescent="0.2">
      <c r="A65548" t="s">
        <v>10</v>
      </c>
    </row>
    <row r="65549" spans="1:1" x14ac:dyDescent="0.2">
      <c r="A65549" t="s">
        <v>11</v>
      </c>
    </row>
    <row r="65550" spans="1:1" x14ac:dyDescent="0.2">
      <c r="A65550" t="s">
        <v>12</v>
      </c>
    </row>
    <row r="65551" spans="1:1" x14ac:dyDescent="0.2">
      <c r="A65551" t="s">
        <v>13</v>
      </c>
    </row>
    <row r="65552" spans="1:1" x14ac:dyDescent="0.2">
      <c r="A65552" t="s">
        <v>14</v>
      </c>
    </row>
    <row r="65553" spans="1:1" x14ac:dyDescent="0.2">
      <c r="A65553" t="s">
        <v>15</v>
      </c>
    </row>
    <row r="65554" spans="1:1" x14ac:dyDescent="0.2">
      <c r="A65554" t="s">
        <v>16</v>
      </c>
    </row>
    <row r="65555" spans="1:1" x14ac:dyDescent="0.2">
      <c r="A65555" t="s">
        <v>17</v>
      </c>
    </row>
    <row r="65556" spans="1:1" x14ac:dyDescent="0.2">
      <c r="A65556" t="s">
        <v>18</v>
      </c>
    </row>
    <row r="65557" spans="1:1" x14ac:dyDescent="0.2">
      <c r="A65557" t="s">
        <v>19</v>
      </c>
    </row>
    <row r="65558" spans="1:1" x14ac:dyDescent="0.2">
      <c r="A65558" t="s">
        <v>20</v>
      </c>
    </row>
    <row r="65559" spans="1:1" x14ac:dyDescent="0.2">
      <c r="A65559" t="s">
        <v>21</v>
      </c>
    </row>
    <row r="65560" spans="1:1" x14ac:dyDescent="0.2">
      <c r="A65560" t="s">
        <v>22</v>
      </c>
    </row>
    <row r="65561" spans="1:1" x14ac:dyDescent="0.2">
      <c r="A65561" t="s">
        <v>23</v>
      </c>
    </row>
    <row r="65562" spans="1:1" x14ac:dyDescent="0.2">
      <c r="A65562" t="s">
        <v>24</v>
      </c>
    </row>
    <row r="65563" spans="1:1" x14ac:dyDescent="0.2">
      <c r="A65563" t="s">
        <v>25</v>
      </c>
    </row>
    <row r="65564" spans="1:1" x14ac:dyDescent="0.2">
      <c r="A65564" t="s">
        <v>26</v>
      </c>
    </row>
    <row r="65565" spans="1:1" x14ac:dyDescent="0.2">
      <c r="A65565" t="s">
        <v>27</v>
      </c>
    </row>
    <row r="65566" spans="1:1" x14ac:dyDescent="0.2">
      <c r="A65566" t="s">
        <v>28</v>
      </c>
    </row>
    <row r="65567" spans="1:1" x14ac:dyDescent="0.2">
      <c r="A65567" t="s">
        <v>29</v>
      </c>
    </row>
    <row r="65568" spans="1:1" x14ac:dyDescent="0.2">
      <c r="A65568" t="s">
        <v>30</v>
      </c>
    </row>
    <row r="65569" spans="1:1" x14ac:dyDescent="0.2">
      <c r="A65569" t="s">
        <v>31</v>
      </c>
    </row>
    <row r="65570" spans="1:1" x14ac:dyDescent="0.2">
      <c r="A65570" t="s">
        <v>32</v>
      </c>
    </row>
    <row r="81922" spans="1:1" x14ac:dyDescent="0.2">
      <c r="A81922" t="s">
        <v>0</v>
      </c>
    </row>
    <row r="81923" spans="1:1" x14ac:dyDescent="0.2">
      <c r="A81923" t="s">
        <v>1</v>
      </c>
    </row>
    <row r="81924" spans="1:1" x14ac:dyDescent="0.2">
      <c r="A81924" t="s">
        <v>2</v>
      </c>
    </row>
    <row r="81925" spans="1:1" x14ac:dyDescent="0.2">
      <c r="A81925" t="s">
        <v>3</v>
      </c>
    </row>
    <row r="81926" spans="1:1" x14ac:dyDescent="0.2">
      <c r="A81926" t="s">
        <v>4</v>
      </c>
    </row>
    <row r="81927" spans="1:1" x14ac:dyDescent="0.2">
      <c r="A81927" t="s">
        <v>5</v>
      </c>
    </row>
    <row r="81928" spans="1:1" x14ac:dyDescent="0.2">
      <c r="A81928" t="s">
        <v>6</v>
      </c>
    </row>
    <row r="81929" spans="1:1" x14ac:dyDescent="0.2">
      <c r="A81929" t="s">
        <v>7</v>
      </c>
    </row>
    <row r="81930" spans="1:1" x14ac:dyDescent="0.2">
      <c r="A81930" t="s">
        <v>8</v>
      </c>
    </row>
    <row r="81931" spans="1:1" x14ac:dyDescent="0.2">
      <c r="A81931" t="s">
        <v>9</v>
      </c>
    </row>
    <row r="81932" spans="1:1" x14ac:dyDescent="0.2">
      <c r="A81932" t="s">
        <v>10</v>
      </c>
    </row>
    <row r="81933" spans="1:1" x14ac:dyDescent="0.2">
      <c r="A81933" t="s">
        <v>11</v>
      </c>
    </row>
    <row r="81934" spans="1:1" x14ac:dyDescent="0.2">
      <c r="A81934" t="s">
        <v>12</v>
      </c>
    </row>
    <row r="81935" spans="1:1" x14ac:dyDescent="0.2">
      <c r="A81935" t="s">
        <v>13</v>
      </c>
    </row>
    <row r="81936" spans="1:1" x14ac:dyDescent="0.2">
      <c r="A81936" t="s">
        <v>14</v>
      </c>
    </row>
    <row r="81937" spans="1:1" x14ac:dyDescent="0.2">
      <c r="A81937" t="s">
        <v>15</v>
      </c>
    </row>
    <row r="81938" spans="1:1" x14ac:dyDescent="0.2">
      <c r="A81938" t="s">
        <v>16</v>
      </c>
    </row>
    <row r="81939" spans="1:1" x14ac:dyDescent="0.2">
      <c r="A81939" t="s">
        <v>17</v>
      </c>
    </row>
    <row r="81940" spans="1:1" x14ac:dyDescent="0.2">
      <c r="A81940" t="s">
        <v>18</v>
      </c>
    </row>
    <row r="81941" spans="1:1" x14ac:dyDescent="0.2">
      <c r="A81941" t="s">
        <v>19</v>
      </c>
    </row>
    <row r="81942" spans="1:1" x14ac:dyDescent="0.2">
      <c r="A81942" t="s">
        <v>20</v>
      </c>
    </row>
    <row r="81943" spans="1:1" x14ac:dyDescent="0.2">
      <c r="A81943" t="s">
        <v>21</v>
      </c>
    </row>
    <row r="81944" spans="1:1" x14ac:dyDescent="0.2">
      <c r="A81944" t="s">
        <v>22</v>
      </c>
    </row>
    <row r="81945" spans="1:1" x14ac:dyDescent="0.2">
      <c r="A81945" t="s">
        <v>23</v>
      </c>
    </row>
    <row r="81946" spans="1:1" x14ac:dyDescent="0.2">
      <c r="A81946" t="s">
        <v>24</v>
      </c>
    </row>
    <row r="81947" spans="1:1" x14ac:dyDescent="0.2">
      <c r="A81947" t="s">
        <v>25</v>
      </c>
    </row>
    <row r="81948" spans="1:1" x14ac:dyDescent="0.2">
      <c r="A81948" t="s">
        <v>26</v>
      </c>
    </row>
    <row r="81949" spans="1:1" x14ac:dyDescent="0.2">
      <c r="A81949" t="s">
        <v>27</v>
      </c>
    </row>
    <row r="81950" spans="1:1" x14ac:dyDescent="0.2">
      <c r="A81950" t="s">
        <v>28</v>
      </c>
    </row>
    <row r="81951" spans="1:1" x14ac:dyDescent="0.2">
      <c r="A81951" t="s">
        <v>29</v>
      </c>
    </row>
    <row r="81952" spans="1:1" x14ac:dyDescent="0.2">
      <c r="A81952" t="s">
        <v>30</v>
      </c>
    </row>
    <row r="81953" spans="1:1" x14ac:dyDescent="0.2">
      <c r="A81953" t="s">
        <v>31</v>
      </c>
    </row>
    <row r="81954" spans="1:1" x14ac:dyDescent="0.2">
      <c r="A81954" t="s">
        <v>32</v>
      </c>
    </row>
    <row r="98306" spans="1:1" x14ac:dyDescent="0.2">
      <c r="A98306" t="s">
        <v>0</v>
      </c>
    </row>
    <row r="98307" spans="1:1" x14ac:dyDescent="0.2">
      <c r="A98307" t="s">
        <v>1</v>
      </c>
    </row>
    <row r="98308" spans="1:1" x14ac:dyDescent="0.2">
      <c r="A98308" t="s">
        <v>2</v>
      </c>
    </row>
    <row r="98309" spans="1:1" x14ac:dyDescent="0.2">
      <c r="A98309" t="s">
        <v>3</v>
      </c>
    </row>
    <row r="98310" spans="1:1" x14ac:dyDescent="0.2">
      <c r="A98310" t="s">
        <v>4</v>
      </c>
    </row>
    <row r="98311" spans="1:1" x14ac:dyDescent="0.2">
      <c r="A98311" t="s">
        <v>5</v>
      </c>
    </row>
    <row r="98312" spans="1:1" x14ac:dyDescent="0.2">
      <c r="A98312" t="s">
        <v>6</v>
      </c>
    </row>
    <row r="98313" spans="1:1" x14ac:dyDescent="0.2">
      <c r="A98313" t="s">
        <v>7</v>
      </c>
    </row>
    <row r="98314" spans="1:1" x14ac:dyDescent="0.2">
      <c r="A98314" t="s">
        <v>8</v>
      </c>
    </row>
    <row r="98315" spans="1:1" x14ac:dyDescent="0.2">
      <c r="A98315" t="s">
        <v>9</v>
      </c>
    </row>
    <row r="98316" spans="1:1" x14ac:dyDescent="0.2">
      <c r="A98316" t="s">
        <v>10</v>
      </c>
    </row>
    <row r="98317" spans="1:1" x14ac:dyDescent="0.2">
      <c r="A98317" t="s">
        <v>11</v>
      </c>
    </row>
    <row r="98318" spans="1:1" x14ac:dyDescent="0.2">
      <c r="A98318" t="s">
        <v>12</v>
      </c>
    </row>
    <row r="98319" spans="1:1" x14ac:dyDescent="0.2">
      <c r="A98319" t="s">
        <v>13</v>
      </c>
    </row>
    <row r="98320" spans="1:1" x14ac:dyDescent="0.2">
      <c r="A98320" t="s">
        <v>14</v>
      </c>
    </row>
    <row r="98321" spans="1:1" x14ac:dyDescent="0.2">
      <c r="A98321" t="s">
        <v>15</v>
      </c>
    </row>
    <row r="98322" spans="1:1" x14ac:dyDescent="0.2">
      <c r="A98322" t="s">
        <v>16</v>
      </c>
    </row>
    <row r="98323" spans="1:1" x14ac:dyDescent="0.2">
      <c r="A98323" t="s">
        <v>17</v>
      </c>
    </row>
    <row r="98324" spans="1:1" x14ac:dyDescent="0.2">
      <c r="A98324" t="s">
        <v>18</v>
      </c>
    </row>
    <row r="98325" spans="1:1" x14ac:dyDescent="0.2">
      <c r="A98325" t="s">
        <v>19</v>
      </c>
    </row>
    <row r="98326" spans="1:1" x14ac:dyDescent="0.2">
      <c r="A98326" t="s">
        <v>20</v>
      </c>
    </row>
    <row r="98327" spans="1:1" x14ac:dyDescent="0.2">
      <c r="A98327" t="s">
        <v>21</v>
      </c>
    </row>
    <row r="98328" spans="1:1" x14ac:dyDescent="0.2">
      <c r="A98328" t="s">
        <v>22</v>
      </c>
    </row>
    <row r="98329" spans="1:1" x14ac:dyDescent="0.2">
      <c r="A98329" t="s">
        <v>23</v>
      </c>
    </row>
    <row r="98330" spans="1:1" x14ac:dyDescent="0.2">
      <c r="A98330" t="s">
        <v>24</v>
      </c>
    </row>
    <row r="98331" spans="1:1" x14ac:dyDescent="0.2">
      <c r="A98331" t="s">
        <v>25</v>
      </c>
    </row>
    <row r="98332" spans="1:1" x14ac:dyDescent="0.2">
      <c r="A98332" t="s">
        <v>26</v>
      </c>
    </row>
    <row r="98333" spans="1:1" x14ac:dyDescent="0.2">
      <c r="A98333" t="s">
        <v>27</v>
      </c>
    </row>
    <row r="98334" spans="1:1" x14ac:dyDescent="0.2">
      <c r="A98334" t="s">
        <v>28</v>
      </c>
    </row>
    <row r="98335" spans="1:1" x14ac:dyDescent="0.2">
      <c r="A98335" t="s">
        <v>29</v>
      </c>
    </row>
    <row r="98336" spans="1:1" x14ac:dyDescent="0.2">
      <c r="A98336" t="s">
        <v>30</v>
      </c>
    </row>
    <row r="98337" spans="1:1" x14ac:dyDescent="0.2">
      <c r="A98337" t="s">
        <v>31</v>
      </c>
    </row>
    <row r="98338" spans="1:1" x14ac:dyDescent="0.2">
      <c r="A98338" t="s">
        <v>32</v>
      </c>
    </row>
    <row r="114690" spans="1:1" x14ac:dyDescent="0.2">
      <c r="A114690" t="s">
        <v>0</v>
      </c>
    </row>
    <row r="114691" spans="1:1" x14ac:dyDescent="0.2">
      <c r="A114691" t="s">
        <v>1</v>
      </c>
    </row>
    <row r="114692" spans="1:1" x14ac:dyDescent="0.2">
      <c r="A114692" t="s">
        <v>2</v>
      </c>
    </row>
    <row r="114693" spans="1:1" x14ac:dyDescent="0.2">
      <c r="A114693" t="s">
        <v>3</v>
      </c>
    </row>
    <row r="114694" spans="1:1" x14ac:dyDescent="0.2">
      <c r="A114694" t="s">
        <v>4</v>
      </c>
    </row>
    <row r="114695" spans="1:1" x14ac:dyDescent="0.2">
      <c r="A114695" t="s">
        <v>5</v>
      </c>
    </row>
    <row r="114696" spans="1:1" x14ac:dyDescent="0.2">
      <c r="A114696" t="s">
        <v>6</v>
      </c>
    </row>
    <row r="114697" spans="1:1" x14ac:dyDescent="0.2">
      <c r="A114697" t="s">
        <v>7</v>
      </c>
    </row>
    <row r="114698" spans="1:1" x14ac:dyDescent="0.2">
      <c r="A114698" t="s">
        <v>8</v>
      </c>
    </row>
    <row r="114699" spans="1:1" x14ac:dyDescent="0.2">
      <c r="A114699" t="s">
        <v>9</v>
      </c>
    </row>
    <row r="114700" spans="1:1" x14ac:dyDescent="0.2">
      <c r="A114700" t="s">
        <v>10</v>
      </c>
    </row>
    <row r="114701" spans="1:1" x14ac:dyDescent="0.2">
      <c r="A114701" t="s">
        <v>11</v>
      </c>
    </row>
    <row r="114702" spans="1:1" x14ac:dyDescent="0.2">
      <c r="A114702" t="s">
        <v>12</v>
      </c>
    </row>
    <row r="114703" spans="1:1" x14ac:dyDescent="0.2">
      <c r="A114703" t="s">
        <v>13</v>
      </c>
    </row>
    <row r="114704" spans="1:1" x14ac:dyDescent="0.2">
      <c r="A114704" t="s">
        <v>14</v>
      </c>
    </row>
    <row r="114705" spans="1:1" x14ac:dyDescent="0.2">
      <c r="A114705" t="s">
        <v>15</v>
      </c>
    </row>
    <row r="114706" spans="1:1" x14ac:dyDescent="0.2">
      <c r="A114706" t="s">
        <v>16</v>
      </c>
    </row>
    <row r="114707" spans="1:1" x14ac:dyDescent="0.2">
      <c r="A114707" t="s">
        <v>17</v>
      </c>
    </row>
    <row r="114708" spans="1:1" x14ac:dyDescent="0.2">
      <c r="A114708" t="s">
        <v>18</v>
      </c>
    </row>
    <row r="114709" spans="1:1" x14ac:dyDescent="0.2">
      <c r="A114709" t="s">
        <v>19</v>
      </c>
    </row>
    <row r="114710" spans="1:1" x14ac:dyDescent="0.2">
      <c r="A114710" t="s">
        <v>20</v>
      </c>
    </row>
    <row r="114711" spans="1:1" x14ac:dyDescent="0.2">
      <c r="A114711" t="s">
        <v>21</v>
      </c>
    </row>
    <row r="114712" spans="1:1" x14ac:dyDescent="0.2">
      <c r="A114712" t="s">
        <v>22</v>
      </c>
    </row>
    <row r="114713" spans="1:1" x14ac:dyDescent="0.2">
      <c r="A114713" t="s">
        <v>23</v>
      </c>
    </row>
    <row r="114714" spans="1:1" x14ac:dyDescent="0.2">
      <c r="A114714" t="s">
        <v>24</v>
      </c>
    </row>
    <row r="114715" spans="1:1" x14ac:dyDescent="0.2">
      <c r="A114715" t="s">
        <v>25</v>
      </c>
    </row>
    <row r="114716" spans="1:1" x14ac:dyDescent="0.2">
      <c r="A114716" t="s">
        <v>26</v>
      </c>
    </row>
    <row r="114717" spans="1:1" x14ac:dyDescent="0.2">
      <c r="A114717" t="s">
        <v>27</v>
      </c>
    </row>
    <row r="114718" spans="1:1" x14ac:dyDescent="0.2">
      <c r="A114718" t="s">
        <v>28</v>
      </c>
    </row>
    <row r="114719" spans="1:1" x14ac:dyDescent="0.2">
      <c r="A114719" t="s">
        <v>29</v>
      </c>
    </row>
    <row r="114720" spans="1:1" x14ac:dyDescent="0.2">
      <c r="A114720" t="s">
        <v>30</v>
      </c>
    </row>
    <row r="114721" spans="1:1" x14ac:dyDescent="0.2">
      <c r="A114721" t="s">
        <v>31</v>
      </c>
    </row>
    <row r="114722" spans="1:1" x14ac:dyDescent="0.2">
      <c r="A114722" t="s">
        <v>32</v>
      </c>
    </row>
    <row r="131074" spans="1:1" x14ac:dyDescent="0.2">
      <c r="A131074" t="s">
        <v>0</v>
      </c>
    </row>
    <row r="131075" spans="1:1" x14ac:dyDescent="0.2">
      <c r="A131075" t="s">
        <v>1</v>
      </c>
    </row>
    <row r="131076" spans="1:1" x14ac:dyDescent="0.2">
      <c r="A131076" t="s">
        <v>2</v>
      </c>
    </row>
    <row r="131077" spans="1:1" x14ac:dyDescent="0.2">
      <c r="A131077" t="s">
        <v>3</v>
      </c>
    </row>
    <row r="131078" spans="1:1" x14ac:dyDescent="0.2">
      <c r="A131078" t="s">
        <v>4</v>
      </c>
    </row>
    <row r="131079" spans="1:1" x14ac:dyDescent="0.2">
      <c r="A131079" t="s">
        <v>5</v>
      </c>
    </row>
    <row r="131080" spans="1:1" x14ac:dyDescent="0.2">
      <c r="A131080" t="s">
        <v>6</v>
      </c>
    </row>
    <row r="131081" spans="1:1" x14ac:dyDescent="0.2">
      <c r="A131081" t="s">
        <v>7</v>
      </c>
    </row>
    <row r="131082" spans="1:1" x14ac:dyDescent="0.2">
      <c r="A131082" t="s">
        <v>8</v>
      </c>
    </row>
    <row r="131083" spans="1:1" x14ac:dyDescent="0.2">
      <c r="A131083" t="s">
        <v>9</v>
      </c>
    </row>
    <row r="131084" spans="1:1" x14ac:dyDescent="0.2">
      <c r="A131084" t="s">
        <v>10</v>
      </c>
    </row>
    <row r="131085" spans="1:1" x14ac:dyDescent="0.2">
      <c r="A131085" t="s">
        <v>11</v>
      </c>
    </row>
    <row r="131086" spans="1:1" x14ac:dyDescent="0.2">
      <c r="A131086" t="s">
        <v>12</v>
      </c>
    </row>
    <row r="131087" spans="1:1" x14ac:dyDescent="0.2">
      <c r="A131087" t="s">
        <v>13</v>
      </c>
    </row>
    <row r="131088" spans="1:1" x14ac:dyDescent="0.2">
      <c r="A131088" t="s">
        <v>14</v>
      </c>
    </row>
    <row r="131089" spans="1:1" x14ac:dyDescent="0.2">
      <c r="A131089" t="s">
        <v>15</v>
      </c>
    </row>
    <row r="131090" spans="1:1" x14ac:dyDescent="0.2">
      <c r="A131090" t="s">
        <v>16</v>
      </c>
    </row>
    <row r="131091" spans="1:1" x14ac:dyDescent="0.2">
      <c r="A131091" t="s">
        <v>17</v>
      </c>
    </row>
    <row r="131092" spans="1:1" x14ac:dyDescent="0.2">
      <c r="A131092" t="s">
        <v>18</v>
      </c>
    </row>
    <row r="131093" spans="1:1" x14ac:dyDescent="0.2">
      <c r="A131093" t="s">
        <v>19</v>
      </c>
    </row>
    <row r="131094" spans="1:1" x14ac:dyDescent="0.2">
      <c r="A131094" t="s">
        <v>20</v>
      </c>
    </row>
    <row r="131095" spans="1:1" x14ac:dyDescent="0.2">
      <c r="A131095" t="s">
        <v>21</v>
      </c>
    </row>
    <row r="131096" spans="1:1" x14ac:dyDescent="0.2">
      <c r="A131096" t="s">
        <v>22</v>
      </c>
    </row>
    <row r="131097" spans="1:1" x14ac:dyDescent="0.2">
      <c r="A131097" t="s">
        <v>23</v>
      </c>
    </row>
    <row r="131098" spans="1:1" x14ac:dyDescent="0.2">
      <c r="A131098" t="s">
        <v>24</v>
      </c>
    </row>
    <row r="131099" spans="1:1" x14ac:dyDescent="0.2">
      <c r="A131099" t="s">
        <v>25</v>
      </c>
    </row>
    <row r="131100" spans="1:1" x14ac:dyDescent="0.2">
      <c r="A131100" t="s">
        <v>26</v>
      </c>
    </row>
    <row r="131101" spans="1:1" x14ac:dyDescent="0.2">
      <c r="A131101" t="s">
        <v>27</v>
      </c>
    </row>
    <row r="131102" spans="1:1" x14ac:dyDescent="0.2">
      <c r="A131102" t="s">
        <v>28</v>
      </c>
    </row>
    <row r="131103" spans="1:1" x14ac:dyDescent="0.2">
      <c r="A131103" t="s">
        <v>29</v>
      </c>
    </row>
    <row r="131104" spans="1:1" x14ac:dyDescent="0.2">
      <c r="A131104" t="s">
        <v>30</v>
      </c>
    </row>
    <row r="131105" spans="1:1" x14ac:dyDescent="0.2">
      <c r="A131105" t="s">
        <v>31</v>
      </c>
    </row>
    <row r="131106" spans="1:1" x14ac:dyDescent="0.2">
      <c r="A131106" t="s">
        <v>32</v>
      </c>
    </row>
    <row r="147458" spans="1:1" x14ac:dyDescent="0.2">
      <c r="A147458" t="s">
        <v>0</v>
      </c>
    </row>
    <row r="147459" spans="1:1" x14ac:dyDescent="0.2">
      <c r="A147459" t="s">
        <v>1</v>
      </c>
    </row>
    <row r="147460" spans="1:1" x14ac:dyDescent="0.2">
      <c r="A147460" t="s">
        <v>2</v>
      </c>
    </row>
    <row r="147461" spans="1:1" x14ac:dyDescent="0.2">
      <c r="A147461" t="s">
        <v>3</v>
      </c>
    </row>
    <row r="147462" spans="1:1" x14ac:dyDescent="0.2">
      <c r="A147462" t="s">
        <v>4</v>
      </c>
    </row>
    <row r="147463" spans="1:1" x14ac:dyDescent="0.2">
      <c r="A147463" t="s">
        <v>5</v>
      </c>
    </row>
    <row r="147464" spans="1:1" x14ac:dyDescent="0.2">
      <c r="A147464" t="s">
        <v>6</v>
      </c>
    </row>
    <row r="147465" spans="1:1" x14ac:dyDescent="0.2">
      <c r="A147465" t="s">
        <v>7</v>
      </c>
    </row>
    <row r="147466" spans="1:1" x14ac:dyDescent="0.2">
      <c r="A147466" t="s">
        <v>8</v>
      </c>
    </row>
    <row r="147467" spans="1:1" x14ac:dyDescent="0.2">
      <c r="A147467" t="s">
        <v>9</v>
      </c>
    </row>
    <row r="147468" spans="1:1" x14ac:dyDescent="0.2">
      <c r="A147468" t="s">
        <v>10</v>
      </c>
    </row>
    <row r="147469" spans="1:1" x14ac:dyDescent="0.2">
      <c r="A147469" t="s">
        <v>11</v>
      </c>
    </row>
    <row r="147470" spans="1:1" x14ac:dyDescent="0.2">
      <c r="A147470" t="s">
        <v>12</v>
      </c>
    </row>
    <row r="147471" spans="1:1" x14ac:dyDescent="0.2">
      <c r="A147471" t="s">
        <v>13</v>
      </c>
    </row>
    <row r="147472" spans="1:1" x14ac:dyDescent="0.2">
      <c r="A147472" t="s">
        <v>14</v>
      </c>
    </row>
    <row r="147473" spans="1:1" x14ac:dyDescent="0.2">
      <c r="A147473" t="s">
        <v>15</v>
      </c>
    </row>
    <row r="147474" spans="1:1" x14ac:dyDescent="0.2">
      <c r="A147474" t="s">
        <v>16</v>
      </c>
    </row>
    <row r="147475" spans="1:1" x14ac:dyDescent="0.2">
      <c r="A147475" t="s">
        <v>17</v>
      </c>
    </row>
    <row r="147476" spans="1:1" x14ac:dyDescent="0.2">
      <c r="A147476" t="s">
        <v>18</v>
      </c>
    </row>
    <row r="147477" spans="1:1" x14ac:dyDescent="0.2">
      <c r="A147477" t="s">
        <v>19</v>
      </c>
    </row>
    <row r="147478" spans="1:1" x14ac:dyDescent="0.2">
      <c r="A147478" t="s">
        <v>20</v>
      </c>
    </row>
    <row r="147479" spans="1:1" x14ac:dyDescent="0.2">
      <c r="A147479" t="s">
        <v>21</v>
      </c>
    </row>
    <row r="147480" spans="1:1" x14ac:dyDescent="0.2">
      <c r="A147480" t="s">
        <v>22</v>
      </c>
    </row>
    <row r="147481" spans="1:1" x14ac:dyDescent="0.2">
      <c r="A147481" t="s">
        <v>23</v>
      </c>
    </row>
    <row r="147482" spans="1:1" x14ac:dyDescent="0.2">
      <c r="A147482" t="s">
        <v>24</v>
      </c>
    </row>
    <row r="147483" spans="1:1" x14ac:dyDescent="0.2">
      <c r="A147483" t="s">
        <v>25</v>
      </c>
    </row>
    <row r="147484" spans="1:1" x14ac:dyDescent="0.2">
      <c r="A147484" t="s">
        <v>26</v>
      </c>
    </row>
    <row r="147485" spans="1:1" x14ac:dyDescent="0.2">
      <c r="A147485" t="s">
        <v>27</v>
      </c>
    </row>
    <row r="147486" spans="1:1" x14ac:dyDescent="0.2">
      <c r="A147486" t="s">
        <v>28</v>
      </c>
    </row>
    <row r="147487" spans="1:1" x14ac:dyDescent="0.2">
      <c r="A147487" t="s">
        <v>29</v>
      </c>
    </row>
    <row r="147488" spans="1:1" x14ac:dyDescent="0.2">
      <c r="A147488" t="s">
        <v>30</v>
      </c>
    </row>
    <row r="147489" spans="1:1" x14ac:dyDescent="0.2">
      <c r="A147489" t="s">
        <v>31</v>
      </c>
    </row>
    <row r="147490" spans="1:1" x14ac:dyDescent="0.2">
      <c r="A147490" t="s">
        <v>32</v>
      </c>
    </row>
    <row r="163842" spans="1:1" x14ac:dyDescent="0.2">
      <c r="A163842" t="s">
        <v>0</v>
      </c>
    </row>
    <row r="163843" spans="1:1" x14ac:dyDescent="0.2">
      <c r="A163843" t="s">
        <v>1</v>
      </c>
    </row>
    <row r="163844" spans="1:1" x14ac:dyDescent="0.2">
      <c r="A163844" t="s">
        <v>2</v>
      </c>
    </row>
    <row r="163845" spans="1:1" x14ac:dyDescent="0.2">
      <c r="A163845" t="s">
        <v>3</v>
      </c>
    </row>
    <row r="163846" spans="1:1" x14ac:dyDescent="0.2">
      <c r="A163846" t="s">
        <v>4</v>
      </c>
    </row>
    <row r="163847" spans="1:1" x14ac:dyDescent="0.2">
      <c r="A163847" t="s">
        <v>5</v>
      </c>
    </row>
    <row r="163848" spans="1:1" x14ac:dyDescent="0.2">
      <c r="A163848" t="s">
        <v>6</v>
      </c>
    </row>
    <row r="163849" spans="1:1" x14ac:dyDescent="0.2">
      <c r="A163849" t="s">
        <v>7</v>
      </c>
    </row>
    <row r="163850" spans="1:1" x14ac:dyDescent="0.2">
      <c r="A163850" t="s">
        <v>8</v>
      </c>
    </row>
    <row r="163851" spans="1:1" x14ac:dyDescent="0.2">
      <c r="A163851" t="s">
        <v>9</v>
      </c>
    </row>
    <row r="163852" spans="1:1" x14ac:dyDescent="0.2">
      <c r="A163852" t="s">
        <v>10</v>
      </c>
    </row>
    <row r="163853" spans="1:1" x14ac:dyDescent="0.2">
      <c r="A163853" t="s">
        <v>11</v>
      </c>
    </row>
    <row r="163854" spans="1:1" x14ac:dyDescent="0.2">
      <c r="A163854" t="s">
        <v>12</v>
      </c>
    </row>
    <row r="163855" spans="1:1" x14ac:dyDescent="0.2">
      <c r="A163855" t="s">
        <v>13</v>
      </c>
    </row>
    <row r="163856" spans="1:1" x14ac:dyDescent="0.2">
      <c r="A163856" t="s">
        <v>14</v>
      </c>
    </row>
    <row r="163857" spans="1:1" x14ac:dyDescent="0.2">
      <c r="A163857" t="s">
        <v>15</v>
      </c>
    </row>
    <row r="163858" spans="1:1" x14ac:dyDescent="0.2">
      <c r="A163858" t="s">
        <v>16</v>
      </c>
    </row>
    <row r="163859" spans="1:1" x14ac:dyDescent="0.2">
      <c r="A163859" t="s">
        <v>17</v>
      </c>
    </row>
    <row r="163860" spans="1:1" x14ac:dyDescent="0.2">
      <c r="A163860" t="s">
        <v>18</v>
      </c>
    </row>
    <row r="163861" spans="1:1" x14ac:dyDescent="0.2">
      <c r="A163861" t="s">
        <v>19</v>
      </c>
    </row>
    <row r="163862" spans="1:1" x14ac:dyDescent="0.2">
      <c r="A163862" t="s">
        <v>20</v>
      </c>
    </row>
    <row r="163863" spans="1:1" x14ac:dyDescent="0.2">
      <c r="A163863" t="s">
        <v>21</v>
      </c>
    </row>
    <row r="163864" spans="1:1" x14ac:dyDescent="0.2">
      <c r="A163864" t="s">
        <v>22</v>
      </c>
    </row>
    <row r="163865" spans="1:1" x14ac:dyDescent="0.2">
      <c r="A163865" t="s">
        <v>23</v>
      </c>
    </row>
    <row r="163866" spans="1:1" x14ac:dyDescent="0.2">
      <c r="A163866" t="s">
        <v>24</v>
      </c>
    </row>
    <row r="163867" spans="1:1" x14ac:dyDescent="0.2">
      <c r="A163867" t="s">
        <v>25</v>
      </c>
    </row>
    <row r="163868" spans="1:1" x14ac:dyDescent="0.2">
      <c r="A163868" t="s">
        <v>26</v>
      </c>
    </row>
    <row r="163869" spans="1:1" x14ac:dyDescent="0.2">
      <c r="A163869" t="s">
        <v>27</v>
      </c>
    </row>
    <row r="163870" spans="1:1" x14ac:dyDescent="0.2">
      <c r="A163870" t="s">
        <v>28</v>
      </c>
    </row>
    <row r="163871" spans="1:1" x14ac:dyDescent="0.2">
      <c r="A163871" t="s">
        <v>29</v>
      </c>
    </row>
    <row r="163872" spans="1:1" x14ac:dyDescent="0.2">
      <c r="A163872" t="s">
        <v>30</v>
      </c>
    </row>
    <row r="163873" spans="1:1" x14ac:dyDescent="0.2">
      <c r="A163873" t="s">
        <v>31</v>
      </c>
    </row>
    <row r="163874" spans="1:1" x14ac:dyDescent="0.2">
      <c r="A163874" t="s">
        <v>32</v>
      </c>
    </row>
    <row r="180226" spans="1:1" x14ac:dyDescent="0.2">
      <c r="A180226" t="s">
        <v>0</v>
      </c>
    </row>
    <row r="180227" spans="1:1" x14ac:dyDescent="0.2">
      <c r="A180227" t="s">
        <v>1</v>
      </c>
    </row>
    <row r="180228" spans="1:1" x14ac:dyDescent="0.2">
      <c r="A180228" t="s">
        <v>2</v>
      </c>
    </row>
    <row r="180229" spans="1:1" x14ac:dyDescent="0.2">
      <c r="A180229" t="s">
        <v>3</v>
      </c>
    </row>
    <row r="180230" spans="1:1" x14ac:dyDescent="0.2">
      <c r="A180230" t="s">
        <v>4</v>
      </c>
    </row>
    <row r="180231" spans="1:1" x14ac:dyDescent="0.2">
      <c r="A180231" t="s">
        <v>5</v>
      </c>
    </row>
    <row r="180232" spans="1:1" x14ac:dyDescent="0.2">
      <c r="A180232" t="s">
        <v>6</v>
      </c>
    </row>
    <row r="180233" spans="1:1" x14ac:dyDescent="0.2">
      <c r="A180233" t="s">
        <v>7</v>
      </c>
    </row>
    <row r="180234" spans="1:1" x14ac:dyDescent="0.2">
      <c r="A180234" t="s">
        <v>8</v>
      </c>
    </row>
    <row r="180235" spans="1:1" x14ac:dyDescent="0.2">
      <c r="A180235" t="s">
        <v>9</v>
      </c>
    </row>
    <row r="180236" spans="1:1" x14ac:dyDescent="0.2">
      <c r="A180236" t="s">
        <v>10</v>
      </c>
    </row>
    <row r="180237" spans="1:1" x14ac:dyDescent="0.2">
      <c r="A180237" t="s">
        <v>11</v>
      </c>
    </row>
    <row r="180238" spans="1:1" x14ac:dyDescent="0.2">
      <c r="A180238" t="s">
        <v>12</v>
      </c>
    </row>
    <row r="180239" spans="1:1" x14ac:dyDescent="0.2">
      <c r="A180239" t="s">
        <v>13</v>
      </c>
    </row>
    <row r="180240" spans="1:1" x14ac:dyDescent="0.2">
      <c r="A180240" t="s">
        <v>14</v>
      </c>
    </row>
    <row r="180241" spans="1:1" x14ac:dyDescent="0.2">
      <c r="A180241" t="s">
        <v>15</v>
      </c>
    </row>
    <row r="180242" spans="1:1" x14ac:dyDescent="0.2">
      <c r="A180242" t="s">
        <v>16</v>
      </c>
    </row>
    <row r="180243" spans="1:1" x14ac:dyDescent="0.2">
      <c r="A180243" t="s">
        <v>17</v>
      </c>
    </row>
    <row r="180244" spans="1:1" x14ac:dyDescent="0.2">
      <c r="A180244" t="s">
        <v>18</v>
      </c>
    </row>
    <row r="180245" spans="1:1" x14ac:dyDescent="0.2">
      <c r="A180245" t="s">
        <v>19</v>
      </c>
    </row>
    <row r="180246" spans="1:1" x14ac:dyDescent="0.2">
      <c r="A180246" t="s">
        <v>20</v>
      </c>
    </row>
    <row r="180247" spans="1:1" x14ac:dyDescent="0.2">
      <c r="A180247" t="s">
        <v>21</v>
      </c>
    </row>
    <row r="180248" spans="1:1" x14ac:dyDescent="0.2">
      <c r="A180248" t="s">
        <v>22</v>
      </c>
    </row>
    <row r="180249" spans="1:1" x14ac:dyDescent="0.2">
      <c r="A180249" t="s">
        <v>23</v>
      </c>
    </row>
    <row r="180250" spans="1:1" x14ac:dyDescent="0.2">
      <c r="A180250" t="s">
        <v>24</v>
      </c>
    </row>
    <row r="180251" spans="1:1" x14ac:dyDescent="0.2">
      <c r="A180251" t="s">
        <v>25</v>
      </c>
    </row>
    <row r="180252" spans="1:1" x14ac:dyDescent="0.2">
      <c r="A180252" t="s">
        <v>26</v>
      </c>
    </row>
    <row r="180253" spans="1:1" x14ac:dyDescent="0.2">
      <c r="A180253" t="s">
        <v>27</v>
      </c>
    </row>
    <row r="180254" spans="1:1" x14ac:dyDescent="0.2">
      <c r="A180254" t="s">
        <v>28</v>
      </c>
    </row>
    <row r="180255" spans="1:1" x14ac:dyDescent="0.2">
      <c r="A180255" t="s">
        <v>29</v>
      </c>
    </row>
    <row r="180256" spans="1:1" x14ac:dyDescent="0.2">
      <c r="A180256" t="s">
        <v>30</v>
      </c>
    </row>
    <row r="180257" spans="1:1" x14ac:dyDescent="0.2">
      <c r="A180257" t="s">
        <v>31</v>
      </c>
    </row>
    <row r="180258" spans="1:1" x14ac:dyDescent="0.2">
      <c r="A180258" t="s">
        <v>32</v>
      </c>
    </row>
    <row r="196610" spans="1:1" x14ac:dyDescent="0.2">
      <c r="A196610" t="s">
        <v>0</v>
      </c>
    </row>
    <row r="196611" spans="1:1" x14ac:dyDescent="0.2">
      <c r="A196611" t="s">
        <v>1</v>
      </c>
    </row>
    <row r="196612" spans="1:1" x14ac:dyDescent="0.2">
      <c r="A196612" t="s">
        <v>2</v>
      </c>
    </row>
    <row r="196613" spans="1:1" x14ac:dyDescent="0.2">
      <c r="A196613" t="s">
        <v>3</v>
      </c>
    </row>
    <row r="196614" spans="1:1" x14ac:dyDescent="0.2">
      <c r="A196614" t="s">
        <v>4</v>
      </c>
    </row>
    <row r="196615" spans="1:1" x14ac:dyDescent="0.2">
      <c r="A196615" t="s">
        <v>5</v>
      </c>
    </row>
    <row r="196616" spans="1:1" x14ac:dyDescent="0.2">
      <c r="A196616" t="s">
        <v>6</v>
      </c>
    </row>
    <row r="196617" spans="1:1" x14ac:dyDescent="0.2">
      <c r="A196617" t="s">
        <v>7</v>
      </c>
    </row>
    <row r="196618" spans="1:1" x14ac:dyDescent="0.2">
      <c r="A196618" t="s">
        <v>8</v>
      </c>
    </row>
    <row r="196619" spans="1:1" x14ac:dyDescent="0.2">
      <c r="A196619" t="s">
        <v>9</v>
      </c>
    </row>
    <row r="196620" spans="1:1" x14ac:dyDescent="0.2">
      <c r="A196620" t="s">
        <v>10</v>
      </c>
    </row>
    <row r="196621" spans="1:1" x14ac:dyDescent="0.2">
      <c r="A196621" t="s">
        <v>11</v>
      </c>
    </row>
    <row r="196622" spans="1:1" x14ac:dyDescent="0.2">
      <c r="A196622" t="s">
        <v>12</v>
      </c>
    </row>
    <row r="196623" spans="1:1" x14ac:dyDescent="0.2">
      <c r="A196623" t="s">
        <v>13</v>
      </c>
    </row>
    <row r="196624" spans="1:1" x14ac:dyDescent="0.2">
      <c r="A196624" t="s">
        <v>14</v>
      </c>
    </row>
    <row r="196625" spans="1:1" x14ac:dyDescent="0.2">
      <c r="A196625" t="s">
        <v>15</v>
      </c>
    </row>
    <row r="196626" spans="1:1" x14ac:dyDescent="0.2">
      <c r="A196626" t="s">
        <v>16</v>
      </c>
    </row>
    <row r="196627" spans="1:1" x14ac:dyDescent="0.2">
      <c r="A196627" t="s">
        <v>17</v>
      </c>
    </row>
    <row r="196628" spans="1:1" x14ac:dyDescent="0.2">
      <c r="A196628" t="s">
        <v>18</v>
      </c>
    </row>
    <row r="196629" spans="1:1" x14ac:dyDescent="0.2">
      <c r="A196629" t="s">
        <v>19</v>
      </c>
    </row>
    <row r="196630" spans="1:1" x14ac:dyDescent="0.2">
      <c r="A196630" t="s">
        <v>20</v>
      </c>
    </row>
    <row r="196631" spans="1:1" x14ac:dyDescent="0.2">
      <c r="A196631" t="s">
        <v>21</v>
      </c>
    </row>
    <row r="196632" spans="1:1" x14ac:dyDescent="0.2">
      <c r="A196632" t="s">
        <v>22</v>
      </c>
    </row>
    <row r="196633" spans="1:1" x14ac:dyDescent="0.2">
      <c r="A196633" t="s">
        <v>23</v>
      </c>
    </row>
    <row r="196634" spans="1:1" x14ac:dyDescent="0.2">
      <c r="A196634" t="s">
        <v>24</v>
      </c>
    </row>
    <row r="196635" spans="1:1" x14ac:dyDescent="0.2">
      <c r="A196635" t="s">
        <v>25</v>
      </c>
    </row>
    <row r="196636" spans="1:1" x14ac:dyDescent="0.2">
      <c r="A196636" t="s">
        <v>26</v>
      </c>
    </row>
    <row r="196637" spans="1:1" x14ac:dyDescent="0.2">
      <c r="A196637" t="s">
        <v>27</v>
      </c>
    </row>
    <row r="196638" spans="1:1" x14ac:dyDescent="0.2">
      <c r="A196638" t="s">
        <v>28</v>
      </c>
    </row>
    <row r="196639" spans="1:1" x14ac:dyDescent="0.2">
      <c r="A196639" t="s">
        <v>29</v>
      </c>
    </row>
    <row r="196640" spans="1:1" x14ac:dyDescent="0.2">
      <c r="A196640" t="s">
        <v>30</v>
      </c>
    </row>
    <row r="196641" spans="1:1" x14ac:dyDescent="0.2">
      <c r="A196641" t="s">
        <v>31</v>
      </c>
    </row>
    <row r="196642" spans="1:1" x14ac:dyDescent="0.2">
      <c r="A196642" t="s">
        <v>32</v>
      </c>
    </row>
    <row r="212994" spans="1:1" x14ac:dyDescent="0.2">
      <c r="A212994" t="s">
        <v>0</v>
      </c>
    </row>
    <row r="212995" spans="1:1" x14ac:dyDescent="0.2">
      <c r="A212995" t="s">
        <v>1</v>
      </c>
    </row>
    <row r="212996" spans="1:1" x14ac:dyDescent="0.2">
      <c r="A212996" t="s">
        <v>2</v>
      </c>
    </row>
    <row r="212997" spans="1:1" x14ac:dyDescent="0.2">
      <c r="A212997" t="s">
        <v>3</v>
      </c>
    </row>
    <row r="212998" spans="1:1" x14ac:dyDescent="0.2">
      <c r="A212998" t="s">
        <v>4</v>
      </c>
    </row>
    <row r="212999" spans="1:1" x14ac:dyDescent="0.2">
      <c r="A212999" t="s">
        <v>5</v>
      </c>
    </row>
    <row r="213000" spans="1:1" x14ac:dyDescent="0.2">
      <c r="A213000" t="s">
        <v>6</v>
      </c>
    </row>
    <row r="213001" spans="1:1" x14ac:dyDescent="0.2">
      <c r="A213001" t="s">
        <v>7</v>
      </c>
    </row>
    <row r="213002" spans="1:1" x14ac:dyDescent="0.2">
      <c r="A213002" t="s">
        <v>8</v>
      </c>
    </row>
    <row r="213003" spans="1:1" x14ac:dyDescent="0.2">
      <c r="A213003" t="s">
        <v>9</v>
      </c>
    </row>
    <row r="213004" spans="1:1" x14ac:dyDescent="0.2">
      <c r="A213004" t="s">
        <v>10</v>
      </c>
    </row>
    <row r="213005" spans="1:1" x14ac:dyDescent="0.2">
      <c r="A213005" t="s">
        <v>11</v>
      </c>
    </row>
    <row r="213006" spans="1:1" x14ac:dyDescent="0.2">
      <c r="A213006" t="s">
        <v>12</v>
      </c>
    </row>
    <row r="213007" spans="1:1" x14ac:dyDescent="0.2">
      <c r="A213007" t="s">
        <v>13</v>
      </c>
    </row>
    <row r="213008" spans="1:1" x14ac:dyDescent="0.2">
      <c r="A213008" t="s">
        <v>14</v>
      </c>
    </row>
    <row r="213009" spans="1:1" x14ac:dyDescent="0.2">
      <c r="A213009" t="s">
        <v>15</v>
      </c>
    </row>
    <row r="213010" spans="1:1" x14ac:dyDescent="0.2">
      <c r="A213010" t="s">
        <v>16</v>
      </c>
    </row>
    <row r="213011" spans="1:1" x14ac:dyDescent="0.2">
      <c r="A213011" t="s">
        <v>17</v>
      </c>
    </row>
    <row r="213012" spans="1:1" x14ac:dyDescent="0.2">
      <c r="A213012" t="s">
        <v>18</v>
      </c>
    </row>
    <row r="213013" spans="1:1" x14ac:dyDescent="0.2">
      <c r="A213013" t="s">
        <v>19</v>
      </c>
    </row>
    <row r="213014" spans="1:1" x14ac:dyDescent="0.2">
      <c r="A213014" t="s">
        <v>20</v>
      </c>
    </row>
    <row r="213015" spans="1:1" x14ac:dyDescent="0.2">
      <c r="A213015" t="s">
        <v>21</v>
      </c>
    </row>
    <row r="213016" spans="1:1" x14ac:dyDescent="0.2">
      <c r="A213016" t="s">
        <v>22</v>
      </c>
    </row>
    <row r="213017" spans="1:1" x14ac:dyDescent="0.2">
      <c r="A213017" t="s">
        <v>23</v>
      </c>
    </row>
    <row r="213018" spans="1:1" x14ac:dyDescent="0.2">
      <c r="A213018" t="s">
        <v>24</v>
      </c>
    </row>
    <row r="213019" spans="1:1" x14ac:dyDescent="0.2">
      <c r="A213019" t="s">
        <v>25</v>
      </c>
    </row>
    <row r="213020" spans="1:1" x14ac:dyDescent="0.2">
      <c r="A213020" t="s">
        <v>26</v>
      </c>
    </row>
    <row r="213021" spans="1:1" x14ac:dyDescent="0.2">
      <c r="A213021" t="s">
        <v>27</v>
      </c>
    </row>
    <row r="213022" spans="1:1" x14ac:dyDescent="0.2">
      <c r="A213022" t="s">
        <v>28</v>
      </c>
    </row>
    <row r="213023" spans="1:1" x14ac:dyDescent="0.2">
      <c r="A213023" t="s">
        <v>29</v>
      </c>
    </row>
    <row r="213024" spans="1:1" x14ac:dyDescent="0.2">
      <c r="A213024" t="s">
        <v>30</v>
      </c>
    </row>
    <row r="213025" spans="1:1" x14ac:dyDescent="0.2">
      <c r="A213025" t="s">
        <v>31</v>
      </c>
    </row>
    <row r="213026" spans="1:1" x14ac:dyDescent="0.2">
      <c r="A213026" t="s">
        <v>32</v>
      </c>
    </row>
    <row r="229378" spans="1:1" x14ac:dyDescent="0.2">
      <c r="A229378" t="s">
        <v>0</v>
      </c>
    </row>
    <row r="229379" spans="1:1" x14ac:dyDescent="0.2">
      <c r="A229379" t="s">
        <v>1</v>
      </c>
    </row>
    <row r="229380" spans="1:1" x14ac:dyDescent="0.2">
      <c r="A229380" t="s">
        <v>2</v>
      </c>
    </row>
    <row r="229381" spans="1:1" x14ac:dyDescent="0.2">
      <c r="A229381" t="s">
        <v>3</v>
      </c>
    </row>
    <row r="229382" spans="1:1" x14ac:dyDescent="0.2">
      <c r="A229382" t="s">
        <v>4</v>
      </c>
    </row>
    <row r="229383" spans="1:1" x14ac:dyDescent="0.2">
      <c r="A229383" t="s">
        <v>5</v>
      </c>
    </row>
    <row r="229384" spans="1:1" x14ac:dyDescent="0.2">
      <c r="A229384" t="s">
        <v>6</v>
      </c>
    </row>
    <row r="229385" spans="1:1" x14ac:dyDescent="0.2">
      <c r="A229385" t="s">
        <v>7</v>
      </c>
    </row>
    <row r="229386" spans="1:1" x14ac:dyDescent="0.2">
      <c r="A229386" t="s">
        <v>8</v>
      </c>
    </row>
    <row r="229387" spans="1:1" x14ac:dyDescent="0.2">
      <c r="A229387" t="s">
        <v>9</v>
      </c>
    </row>
    <row r="229388" spans="1:1" x14ac:dyDescent="0.2">
      <c r="A229388" t="s">
        <v>10</v>
      </c>
    </row>
    <row r="229389" spans="1:1" x14ac:dyDescent="0.2">
      <c r="A229389" t="s">
        <v>11</v>
      </c>
    </row>
    <row r="229390" spans="1:1" x14ac:dyDescent="0.2">
      <c r="A229390" t="s">
        <v>12</v>
      </c>
    </row>
    <row r="229391" spans="1:1" x14ac:dyDescent="0.2">
      <c r="A229391" t="s">
        <v>13</v>
      </c>
    </row>
    <row r="229392" spans="1:1" x14ac:dyDescent="0.2">
      <c r="A229392" t="s">
        <v>14</v>
      </c>
    </row>
    <row r="229393" spans="1:1" x14ac:dyDescent="0.2">
      <c r="A229393" t="s">
        <v>15</v>
      </c>
    </row>
    <row r="229394" spans="1:1" x14ac:dyDescent="0.2">
      <c r="A229394" t="s">
        <v>16</v>
      </c>
    </row>
    <row r="229395" spans="1:1" x14ac:dyDescent="0.2">
      <c r="A229395" t="s">
        <v>17</v>
      </c>
    </row>
    <row r="229396" spans="1:1" x14ac:dyDescent="0.2">
      <c r="A229396" t="s">
        <v>18</v>
      </c>
    </row>
    <row r="229397" spans="1:1" x14ac:dyDescent="0.2">
      <c r="A229397" t="s">
        <v>19</v>
      </c>
    </row>
    <row r="229398" spans="1:1" x14ac:dyDescent="0.2">
      <c r="A229398" t="s">
        <v>20</v>
      </c>
    </row>
    <row r="229399" spans="1:1" x14ac:dyDescent="0.2">
      <c r="A229399" t="s">
        <v>21</v>
      </c>
    </row>
    <row r="229400" spans="1:1" x14ac:dyDescent="0.2">
      <c r="A229400" t="s">
        <v>22</v>
      </c>
    </row>
    <row r="229401" spans="1:1" x14ac:dyDescent="0.2">
      <c r="A229401" t="s">
        <v>23</v>
      </c>
    </row>
    <row r="229402" spans="1:1" x14ac:dyDescent="0.2">
      <c r="A229402" t="s">
        <v>24</v>
      </c>
    </row>
    <row r="229403" spans="1:1" x14ac:dyDescent="0.2">
      <c r="A229403" t="s">
        <v>25</v>
      </c>
    </row>
    <row r="229404" spans="1:1" x14ac:dyDescent="0.2">
      <c r="A229404" t="s">
        <v>26</v>
      </c>
    </row>
    <row r="229405" spans="1:1" x14ac:dyDescent="0.2">
      <c r="A229405" t="s">
        <v>27</v>
      </c>
    </row>
    <row r="229406" spans="1:1" x14ac:dyDescent="0.2">
      <c r="A229406" t="s">
        <v>28</v>
      </c>
    </row>
    <row r="229407" spans="1:1" x14ac:dyDescent="0.2">
      <c r="A229407" t="s">
        <v>29</v>
      </c>
    </row>
    <row r="229408" spans="1:1" x14ac:dyDescent="0.2">
      <c r="A229408" t="s">
        <v>30</v>
      </c>
    </row>
    <row r="229409" spans="1:1" x14ac:dyDescent="0.2">
      <c r="A229409" t="s">
        <v>31</v>
      </c>
    </row>
    <row r="229410" spans="1:1" x14ac:dyDescent="0.2">
      <c r="A229410" t="s">
        <v>32</v>
      </c>
    </row>
    <row r="245762" spans="1:1" x14ac:dyDescent="0.2">
      <c r="A245762" t="s">
        <v>0</v>
      </c>
    </row>
    <row r="245763" spans="1:1" x14ac:dyDescent="0.2">
      <c r="A245763" t="s">
        <v>1</v>
      </c>
    </row>
    <row r="245764" spans="1:1" x14ac:dyDescent="0.2">
      <c r="A245764" t="s">
        <v>2</v>
      </c>
    </row>
    <row r="245765" spans="1:1" x14ac:dyDescent="0.2">
      <c r="A245765" t="s">
        <v>3</v>
      </c>
    </row>
    <row r="245766" spans="1:1" x14ac:dyDescent="0.2">
      <c r="A245766" t="s">
        <v>4</v>
      </c>
    </row>
    <row r="245767" spans="1:1" x14ac:dyDescent="0.2">
      <c r="A245767" t="s">
        <v>5</v>
      </c>
    </row>
    <row r="245768" spans="1:1" x14ac:dyDescent="0.2">
      <c r="A245768" t="s">
        <v>6</v>
      </c>
    </row>
    <row r="245769" spans="1:1" x14ac:dyDescent="0.2">
      <c r="A245769" t="s">
        <v>7</v>
      </c>
    </row>
    <row r="245770" spans="1:1" x14ac:dyDescent="0.2">
      <c r="A245770" t="s">
        <v>8</v>
      </c>
    </row>
    <row r="245771" spans="1:1" x14ac:dyDescent="0.2">
      <c r="A245771" t="s">
        <v>9</v>
      </c>
    </row>
    <row r="245772" spans="1:1" x14ac:dyDescent="0.2">
      <c r="A245772" t="s">
        <v>10</v>
      </c>
    </row>
    <row r="245773" spans="1:1" x14ac:dyDescent="0.2">
      <c r="A245773" t="s">
        <v>11</v>
      </c>
    </row>
    <row r="245774" spans="1:1" x14ac:dyDescent="0.2">
      <c r="A245774" t="s">
        <v>12</v>
      </c>
    </row>
    <row r="245775" spans="1:1" x14ac:dyDescent="0.2">
      <c r="A245775" t="s">
        <v>13</v>
      </c>
    </row>
    <row r="245776" spans="1:1" x14ac:dyDescent="0.2">
      <c r="A245776" t="s">
        <v>14</v>
      </c>
    </row>
    <row r="245777" spans="1:1" x14ac:dyDescent="0.2">
      <c r="A245777" t="s">
        <v>15</v>
      </c>
    </row>
    <row r="245778" spans="1:1" x14ac:dyDescent="0.2">
      <c r="A245778" t="s">
        <v>16</v>
      </c>
    </row>
    <row r="245779" spans="1:1" x14ac:dyDescent="0.2">
      <c r="A245779" t="s">
        <v>17</v>
      </c>
    </row>
    <row r="245780" spans="1:1" x14ac:dyDescent="0.2">
      <c r="A245780" t="s">
        <v>18</v>
      </c>
    </row>
    <row r="245781" spans="1:1" x14ac:dyDescent="0.2">
      <c r="A245781" t="s">
        <v>19</v>
      </c>
    </row>
    <row r="245782" spans="1:1" x14ac:dyDescent="0.2">
      <c r="A245782" t="s">
        <v>20</v>
      </c>
    </row>
    <row r="245783" spans="1:1" x14ac:dyDescent="0.2">
      <c r="A245783" t="s">
        <v>21</v>
      </c>
    </row>
    <row r="245784" spans="1:1" x14ac:dyDescent="0.2">
      <c r="A245784" t="s">
        <v>22</v>
      </c>
    </row>
    <row r="245785" spans="1:1" x14ac:dyDescent="0.2">
      <c r="A245785" t="s">
        <v>23</v>
      </c>
    </row>
    <row r="245786" spans="1:1" x14ac:dyDescent="0.2">
      <c r="A245786" t="s">
        <v>24</v>
      </c>
    </row>
    <row r="245787" spans="1:1" x14ac:dyDescent="0.2">
      <c r="A245787" t="s">
        <v>25</v>
      </c>
    </row>
    <row r="245788" spans="1:1" x14ac:dyDescent="0.2">
      <c r="A245788" t="s">
        <v>26</v>
      </c>
    </row>
    <row r="245789" spans="1:1" x14ac:dyDescent="0.2">
      <c r="A245789" t="s">
        <v>27</v>
      </c>
    </row>
    <row r="245790" spans="1:1" x14ac:dyDescent="0.2">
      <c r="A245790" t="s">
        <v>28</v>
      </c>
    </row>
    <row r="245791" spans="1:1" x14ac:dyDescent="0.2">
      <c r="A245791" t="s">
        <v>29</v>
      </c>
    </row>
    <row r="245792" spans="1:1" x14ac:dyDescent="0.2">
      <c r="A245792" t="s">
        <v>30</v>
      </c>
    </row>
    <row r="245793" spans="1:1" x14ac:dyDescent="0.2">
      <c r="A245793" t="s">
        <v>31</v>
      </c>
    </row>
    <row r="245794" spans="1:1" x14ac:dyDescent="0.2">
      <c r="A245794" t="s">
        <v>32</v>
      </c>
    </row>
    <row r="262146" spans="1:1" x14ac:dyDescent="0.2">
      <c r="A262146" t="s">
        <v>0</v>
      </c>
    </row>
    <row r="262147" spans="1:1" x14ac:dyDescent="0.2">
      <c r="A262147" t="s">
        <v>1</v>
      </c>
    </row>
    <row r="262148" spans="1:1" x14ac:dyDescent="0.2">
      <c r="A262148" t="s">
        <v>2</v>
      </c>
    </row>
    <row r="262149" spans="1:1" x14ac:dyDescent="0.2">
      <c r="A262149" t="s">
        <v>3</v>
      </c>
    </row>
    <row r="262150" spans="1:1" x14ac:dyDescent="0.2">
      <c r="A262150" t="s">
        <v>4</v>
      </c>
    </row>
    <row r="262151" spans="1:1" x14ac:dyDescent="0.2">
      <c r="A262151" t="s">
        <v>5</v>
      </c>
    </row>
    <row r="262152" spans="1:1" x14ac:dyDescent="0.2">
      <c r="A262152" t="s">
        <v>6</v>
      </c>
    </row>
    <row r="262153" spans="1:1" x14ac:dyDescent="0.2">
      <c r="A262153" t="s">
        <v>7</v>
      </c>
    </row>
    <row r="262154" spans="1:1" x14ac:dyDescent="0.2">
      <c r="A262154" t="s">
        <v>8</v>
      </c>
    </row>
    <row r="262155" spans="1:1" x14ac:dyDescent="0.2">
      <c r="A262155" t="s">
        <v>9</v>
      </c>
    </row>
    <row r="262156" spans="1:1" x14ac:dyDescent="0.2">
      <c r="A262156" t="s">
        <v>10</v>
      </c>
    </row>
    <row r="262157" spans="1:1" x14ac:dyDescent="0.2">
      <c r="A262157" t="s">
        <v>11</v>
      </c>
    </row>
    <row r="262158" spans="1:1" x14ac:dyDescent="0.2">
      <c r="A262158" t="s">
        <v>12</v>
      </c>
    </row>
    <row r="262159" spans="1:1" x14ac:dyDescent="0.2">
      <c r="A262159" t="s">
        <v>13</v>
      </c>
    </row>
    <row r="262160" spans="1:1" x14ac:dyDescent="0.2">
      <c r="A262160" t="s">
        <v>14</v>
      </c>
    </row>
    <row r="262161" spans="1:1" x14ac:dyDescent="0.2">
      <c r="A262161" t="s">
        <v>15</v>
      </c>
    </row>
    <row r="262162" spans="1:1" x14ac:dyDescent="0.2">
      <c r="A262162" t="s">
        <v>16</v>
      </c>
    </row>
    <row r="262163" spans="1:1" x14ac:dyDescent="0.2">
      <c r="A262163" t="s">
        <v>17</v>
      </c>
    </row>
    <row r="262164" spans="1:1" x14ac:dyDescent="0.2">
      <c r="A262164" t="s">
        <v>18</v>
      </c>
    </row>
    <row r="262165" spans="1:1" x14ac:dyDescent="0.2">
      <c r="A262165" t="s">
        <v>19</v>
      </c>
    </row>
    <row r="262166" spans="1:1" x14ac:dyDescent="0.2">
      <c r="A262166" t="s">
        <v>20</v>
      </c>
    </row>
    <row r="262167" spans="1:1" x14ac:dyDescent="0.2">
      <c r="A262167" t="s">
        <v>21</v>
      </c>
    </row>
    <row r="262168" spans="1:1" x14ac:dyDescent="0.2">
      <c r="A262168" t="s">
        <v>22</v>
      </c>
    </row>
    <row r="262169" spans="1:1" x14ac:dyDescent="0.2">
      <c r="A262169" t="s">
        <v>23</v>
      </c>
    </row>
    <row r="262170" spans="1:1" x14ac:dyDescent="0.2">
      <c r="A262170" t="s">
        <v>24</v>
      </c>
    </row>
    <row r="262171" spans="1:1" x14ac:dyDescent="0.2">
      <c r="A262171" t="s">
        <v>25</v>
      </c>
    </row>
    <row r="262172" spans="1:1" x14ac:dyDescent="0.2">
      <c r="A262172" t="s">
        <v>26</v>
      </c>
    </row>
    <row r="262173" spans="1:1" x14ac:dyDescent="0.2">
      <c r="A262173" t="s">
        <v>27</v>
      </c>
    </row>
    <row r="262174" spans="1:1" x14ac:dyDescent="0.2">
      <c r="A262174" t="s">
        <v>28</v>
      </c>
    </row>
    <row r="262175" spans="1:1" x14ac:dyDescent="0.2">
      <c r="A262175" t="s">
        <v>29</v>
      </c>
    </row>
    <row r="262176" spans="1:1" x14ac:dyDescent="0.2">
      <c r="A262176" t="s">
        <v>30</v>
      </c>
    </row>
    <row r="262177" spans="1:1" x14ac:dyDescent="0.2">
      <c r="A262177" t="s">
        <v>31</v>
      </c>
    </row>
    <row r="262178" spans="1:1" x14ac:dyDescent="0.2">
      <c r="A262178" t="s">
        <v>32</v>
      </c>
    </row>
    <row r="278530" spans="1:1" x14ac:dyDescent="0.2">
      <c r="A278530" t="s">
        <v>0</v>
      </c>
    </row>
    <row r="278531" spans="1:1" x14ac:dyDescent="0.2">
      <c r="A278531" t="s">
        <v>1</v>
      </c>
    </row>
    <row r="278532" spans="1:1" x14ac:dyDescent="0.2">
      <c r="A278532" t="s">
        <v>2</v>
      </c>
    </row>
    <row r="278533" spans="1:1" x14ac:dyDescent="0.2">
      <c r="A278533" t="s">
        <v>3</v>
      </c>
    </row>
    <row r="278534" spans="1:1" x14ac:dyDescent="0.2">
      <c r="A278534" t="s">
        <v>4</v>
      </c>
    </row>
    <row r="278535" spans="1:1" x14ac:dyDescent="0.2">
      <c r="A278535" t="s">
        <v>5</v>
      </c>
    </row>
    <row r="278536" spans="1:1" x14ac:dyDescent="0.2">
      <c r="A278536" t="s">
        <v>6</v>
      </c>
    </row>
    <row r="278537" spans="1:1" x14ac:dyDescent="0.2">
      <c r="A278537" t="s">
        <v>7</v>
      </c>
    </row>
    <row r="278538" spans="1:1" x14ac:dyDescent="0.2">
      <c r="A278538" t="s">
        <v>8</v>
      </c>
    </row>
    <row r="278539" spans="1:1" x14ac:dyDescent="0.2">
      <c r="A278539" t="s">
        <v>9</v>
      </c>
    </row>
    <row r="278540" spans="1:1" x14ac:dyDescent="0.2">
      <c r="A278540" t="s">
        <v>10</v>
      </c>
    </row>
    <row r="278541" spans="1:1" x14ac:dyDescent="0.2">
      <c r="A278541" t="s">
        <v>11</v>
      </c>
    </row>
    <row r="278542" spans="1:1" x14ac:dyDescent="0.2">
      <c r="A278542" t="s">
        <v>12</v>
      </c>
    </row>
    <row r="278543" spans="1:1" x14ac:dyDescent="0.2">
      <c r="A278543" t="s">
        <v>13</v>
      </c>
    </row>
    <row r="278544" spans="1:1" x14ac:dyDescent="0.2">
      <c r="A278544" t="s">
        <v>14</v>
      </c>
    </row>
    <row r="278545" spans="1:1" x14ac:dyDescent="0.2">
      <c r="A278545" t="s">
        <v>15</v>
      </c>
    </row>
    <row r="278546" spans="1:1" x14ac:dyDescent="0.2">
      <c r="A278546" t="s">
        <v>16</v>
      </c>
    </row>
    <row r="278547" spans="1:1" x14ac:dyDescent="0.2">
      <c r="A278547" t="s">
        <v>17</v>
      </c>
    </row>
    <row r="278548" spans="1:1" x14ac:dyDescent="0.2">
      <c r="A278548" t="s">
        <v>18</v>
      </c>
    </row>
    <row r="278549" spans="1:1" x14ac:dyDescent="0.2">
      <c r="A278549" t="s">
        <v>19</v>
      </c>
    </row>
    <row r="278550" spans="1:1" x14ac:dyDescent="0.2">
      <c r="A278550" t="s">
        <v>20</v>
      </c>
    </row>
    <row r="278551" spans="1:1" x14ac:dyDescent="0.2">
      <c r="A278551" t="s">
        <v>21</v>
      </c>
    </row>
    <row r="278552" spans="1:1" x14ac:dyDescent="0.2">
      <c r="A278552" t="s">
        <v>22</v>
      </c>
    </row>
    <row r="278553" spans="1:1" x14ac:dyDescent="0.2">
      <c r="A278553" t="s">
        <v>23</v>
      </c>
    </row>
    <row r="278554" spans="1:1" x14ac:dyDescent="0.2">
      <c r="A278554" t="s">
        <v>24</v>
      </c>
    </row>
    <row r="278555" spans="1:1" x14ac:dyDescent="0.2">
      <c r="A278555" t="s">
        <v>25</v>
      </c>
    </row>
    <row r="278556" spans="1:1" x14ac:dyDescent="0.2">
      <c r="A278556" t="s">
        <v>26</v>
      </c>
    </row>
    <row r="278557" spans="1:1" x14ac:dyDescent="0.2">
      <c r="A278557" t="s">
        <v>27</v>
      </c>
    </row>
    <row r="278558" spans="1:1" x14ac:dyDescent="0.2">
      <c r="A278558" t="s">
        <v>28</v>
      </c>
    </row>
    <row r="278559" spans="1:1" x14ac:dyDescent="0.2">
      <c r="A278559" t="s">
        <v>29</v>
      </c>
    </row>
    <row r="278560" spans="1:1" x14ac:dyDescent="0.2">
      <c r="A278560" t="s">
        <v>30</v>
      </c>
    </row>
    <row r="278561" spans="1:1" x14ac:dyDescent="0.2">
      <c r="A278561" t="s">
        <v>31</v>
      </c>
    </row>
    <row r="278562" spans="1:1" x14ac:dyDescent="0.2">
      <c r="A278562" t="s">
        <v>32</v>
      </c>
    </row>
    <row r="294914" spans="1:1" x14ac:dyDescent="0.2">
      <c r="A294914" t="s">
        <v>0</v>
      </c>
    </row>
    <row r="294915" spans="1:1" x14ac:dyDescent="0.2">
      <c r="A294915" t="s">
        <v>1</v>
      </c>
    </row>
    <row r="294916" spans="1:1" x14ac:dyDescent="0.2">
      <c r="A294916" t="s">
        <v>2</v>
      </c>
    </row>
    <row r="294917" spans="1:1" x14ac:dyDescent="0.2">
      <c r="A294917" t="s">
        <v>3</v>
      </c>
    </row>
    <row r="294918" spans="1:1" x14ac:dyDescent="0.2">
      <c r="A294918" t="s">
        <v>4</v>
      </c>
    </row>
    <row r="294919" spans="1:1" x14ac:dyDescent="0.2">
      <c r="A294919" t="s">
        <v>5</v>
      </c>
    </row>
    <row r="294920" spans="1:1" x14ac:dyDescent="0.2">
      <c r="A294920" t="s">
        <v>6</v>
      </c>
    </row>
    <row r="294921" spans="1:1" x14ac:dyDescent="0.2">
      <c r="A294921" t="s">
        <v>7</v>
      </c>
    </row>
    <row r="294922" spans="1:1" x14ac:dyDescent="0.2">
      <c r="A294922" t="s">
        <v>8</v>
      </c>
    </row>
    <row r="294923" spans="1:1" x14ac:dyDescent="0.2">
      <c r="A294923" t="s">
        <v>9</v>
      </c>
    </row>
    <row r="294924" spans="1:1" x14ac:dyDescent="0.2">
      <c r="A294924" t="s">
        <v>10</v>
      </c>
    </row>
    <row r="294925" spans="1:1" x14ac:dyDescent="0.2">
      <c r="A294925" t="s">
        <v>11</v>
      </c>
    </row>
    <row r="294926" spans="1:1" x14ac:dyDescent="0.2">
      <c r="A294926" t="s">
        <v>12</v>
      </c>
    </row>
    <row r="294927" spans="1:1" x14ac:dyDescent="0.2">
      <c r="A294927" t="s">
        <v>13</v>
      </c>
    </row>
    <row r="294928" spans="1:1" x14ac:dyDescent="0.2">
      <c r="A294928" t="s">
        <v>14</v>
      </c>
    </row>
    <row r="294929" spans="1:1" x14ac:dyDescent="0.2">
      <c r="A294929" t="s">
        <v>15</v>
      </c>
    </row>
    <row r="294930" spans="1:1" x14ac:dyDescent="0.2">
      <c r="A294930" t="s">
        <v>16</v>
      </c>
    </row>
    <row r="294931" spans="1:1" x14ac:dyDescent="0.2">
      <c r="A294931" t="s">
        <v>17</v>
      </c>
    </row>
    <row r="294932" spans="1:1" x14ac:dyDescent="0.2">
      <c r="A294932" t="s">
        <v>18</v>
      </c>
    </row>
    <row r="294933" spans="1:1" x14ac:dyDescent="0.2">
      <c r="A294933" t="s">
        <v>19</v>
      </c>
    </row>
    <row r="294934" spans="1:1" x14ac:dyDescent="0.2">
      <c r="A294934" t="s">
        <v>20</v>
      </c>
    </row>
    <row r="294935" spans="1:1" x14ac:dyDescent="0.2">
      <c r="A294935" t="s">
        <v>21</v>
      </c>
    </row>
    <row r="294936" spans="1:1" x14ac:dyDescent="0.2">
      <c r="A294936" t="s">
        <v>22</v>
      </c>
    </row>
    <row r="294937" spans="1:1" x14ac:dyDescent="0.2">
      <c r="A294937" t="s">
        <v>23</v>
      </c>
    </row>
    <row r="294938" spans="1:1" x14ac:dyDescent="0.2">
      <c r="A294938" t="s">
        <v>24</v>
      </c>
    </row>
    <row r="294939" spans="1:1" x14ac:dyDescent="0.2">
      <c r="A294939" t="s">
        <v>25</v>
      </c>
    </row>
    <row r="294940" spans="1:1" x14ac:dyDescent="0.2">
      <c r="A294940" t="s">
        <v>26</v>
      </c>
    </row>
    <row r="294941" spans="1:1" x14ac:dyDescent="0.2">
      <c r="A294941" t="s">
        <v>27</v>
      </c>
    </row>
    <row r="294942" spans="1:1" x14ac:dyDescent="0.2">
      <c r="A294942" t="s">
        <v>28</v>
      </c>
    </row>
    <row r="294943" spans="1:1" x14ac:dyDescent="0.2">
      <c r="A294943" t="s">
        <v>29</v>
      </c>
    </row>
    <row r="294944" spans="1:1" x14ac:dyDescent="0.2">
      <c r="A294944" t="s">
        <v>30</v>
      </c>
    </row>
    <row r="294945" spans="1:1" x14ac:dyDescent="0.2">
      <c r="A294945" t="s">
        <v>31</v>
      </c>
    </row>
    <row r="294946" spans="1:1" x14ac:dyDescent="0.2">
      <c r="A294946" t="s">
        <v>32</v>
      </c>
    </row>
    <row r="311298" spans="1:1" x14ac:dyDescent="0.2">
      <c r="A311298" t="s">
        <v>0</v>
      </c>
    </row>
    <row r="311299" spans="1:1" x14ac:dyDescent="0.2">
      <c r="A311299" t="s">
        <v>1</v>
      </c>
    </row>
    <row r="311300" spans="1:1" x14ac:dyDescent="0.2">
      <c r="A311300" t="s">
        <v>2</v>
      </c>
    </row>
    <row r="311301" spans="1:1" x14ac:dyDescent="0.2">
      <c r="A311301" t="s">
        <v>3</v>
      </c>
    </row>
    <row r="311302" spans="1:1" x14ac:dyDescent="0.2">
      <c r="A311302" t="s">
        <v>4</v>
      </c>
    </row>
    <row r="311303" spans="1:1" x14ac:dyDescent="0.2">
      <c r="A311303" t="s">
        <v>5</v>
      </c>
    </row>
    <row r="311304" spans="1:1" x14ac:dyDescent="0.2">
      <c r="A311304" t="s">
        <v>6</v>
      </c>
    </row>
    <row r="311305" spans="1:1" x14ac:dyDescent="0.2">
      <c r="A311305" t="s">
        <v>7</v>
      </c>
    </row>
    <row r="311306" spans="1:1" x14ac:dyDescent="0.2">
      <c r="A311306" t="s">
        <v>8</v>
      </c>
    </row>
    <row r="311307" spans="1:1" x14ac:dyDescent="0.2">
      <c r="A311307" t="s">
        <v>9</v>
      </c>
    </row>
    <row r="311308" spans="1:1" x14ac:dyDescent="0.2">
      <c r="A311308" t="s">
        <v>10</v>
      </c>
    </row>
    <row r="311309" spans="1:1" x14ac:dyDescent="0.2">
      <c r="A311309" t="s">
        <v>11</v>
      </c>
    </row>
    <row r="311310" spans="1:1" x14ac:dyDescent="0.2">
      <c r="A311310" t="s">
        <v>12</v>
      </c>
    </row>
    <row r="311311" spans="1:1" x14ac:dyDescent="0.2">
      <c r="A311311" t="s">
        <v>13</v>
      </c>
    </row>
    <row r="311312" spans="1:1" x14ac:dyDescent="0.2">
      <c r="A311312" t="s">
        <v>14</v>
      </c>
    </row>
    <row r="311313" spans="1:1" x14ac:dyDescent="0.2">
      <c r="A311313" t="s">
        <v>15</v>
      </c>
    </row>
    <row r="311314" spans="1:1" x14ac:dyDescent="0.2">
      <c r="A311314" t="s">
        <v>16</v>
      </c>
    </row>
    <row r="311315" spans="1:1" x14ac:dyDescent="0.2">
      <c r="A311315" t="s">
        <v>17</v>
      </c>
    </row>
    <row r="311316" spans="1:1" x14ac:dyDescent="0.2">
      <c r="A311316" t="s">
        <v>18</v>
      </c>
    </row>
    <row r="311317" spans="1:1" x14ac:dyDescent="0.2">
      <c r="A311317" t="s">
        <v>19</v>
      </c>
    </row>
    <row r="311318" spans="1:1" x14ac:dyDescent="0.2">
      <c r="A311318" t="s">
        <v>20</v>
      </c>
    </row>
    <row r="311319" spans="1:1" x14ac:dyDescent="0.2">
      <c r="A311319" t="s">
        <v>21</v>
      </c>
    </row>
    <row r="311320" spans="1:1" x14ac:dyDescent="0.2">
      <c r="A311320" t="s">
        <v>22</v>
      </c>
    </row>
    <row r="311321" spans="1:1" x14ac:dyDescent="0.2">
      <c r="A311321" t="s">
        <v>23</v>
      </c>
    </row>
    <row r="311322" spans="1:1" x14ac:dyDescent="0.2">
      <c r="A311322" t="s">
        <v>24</v>
      </c>
    </row>
    <row r="311323" spans="1:1" x14ac:dyDescent="0.2">
      <c r="A311323" t="s">
        <v>25</v>
      </c>
    </row>
    <row r="311324" spans="1:1" x14ac:dyDescent="0.2">
      <c r="A311324" t="s">
        <v>26</v>
      </c>
    </row>
    <row r="311325" spans="1:1" x14ac:dyDescent="0.2">
      <c r="A311325" t="s">
        <v>27</v>
      </c>
    </row>
    <row r="311326" spans="1:1" x14ac:dyDescent="0.2">
      <c r="A311326" t="s">
        <v>28</v>
      </c>
    </row>
    <row r="311327" spans="1:1" x14ac:dyDescent="0.2">
      <c r="A311327" t="s">
        <v>29</v>
      </c>
    </row>
    <row r="311328" spans="1:1" x14ac:dyDescent="0.2">
      <c r="A311328" t="s">
        <v>30</v>
      </c>
    </row>
    <row r="311329" spans="1:1" x14ac:dyDescent="0.2">
      <c r="A311329" t="s">
        <v>31</v>
      </c>
    </row>
    <row r="311330" spans="1:1" x14ac:dyDescent="0.2">
      <c r="A311330" t="s">
        <v>32</v>
      </c>
    </row>
    <row r="327682" spans="1:1" x14ac:dyDescent="0.2">
      <c r="A327682" t="s">
        <v>0</v>
      </c>
    </row>
    <row r="327683" spans="1:1" x14ac:dyDescent="0.2">
      <c r="A327683" t="s">
        <v>1</v>
      </c>
    </row>
    <row r="327684" spans="1:1" x14ac:dyDescent="0.2">
      <c r="A327684" t="s">
        <v>2</v>
      </c>
    </row>
    <row r="327685" spans="1:1" x14ac:dyDescent="0.2">
      <c r="A327685" t="s">
        <v>3</v>
      </c>
    </row>
    <row r="327686" spans="1:1" x14ac:dyDescent="0.2">
      <c r="A327686" t="s">
        <v>4</v>
      </c>
    </row>
    <row r="327687" spans="1:1" x14ac:dyDescent="0.2">
      <c r="A327687" t="s">
        <v>5</v>
      </c>
    </row>
    <row r="327688" spans="1:1" x14ac:dyDescent="0.2">
      <c r="A327688" t="s">
        <v>6</v>
      </c>
    </row>
    <row r="327689" spans="1:1" x14ac:dyDescent="0.2">
      <c r="A327689" t="s">
        <v>7</v>
      </c>
    </row>
    <row r="327690" spans="1:1" x14ac:dyDescent="0.2">
      <c r="A327690" t="s">
        <v>8</v>
      </c>
    </row>
    <row r="327691" spans="1:1" x14ac:dyDescent="0.2">
      <c r="A327691" t="s">
        <v>9</v>
      </c>
    </row>
    <row r="327692" spans="1:1" x14ac:dyDescent="0.2">
      <c r="A327692" t="s">
        <v>10</v>
      </c>
    </row>
    <row r="327693" spans="1:1" x14ac:dyDescent="0.2">
      <c r="A327693" t="s">
        <v>11</v>
      </c>
    </row>
    <row r="327694" spans="1:1" x14ac:dyDescent="0.2">
      <c r="A327694" t="s">
        <v>12</v>
      </c>
    </row>
    <row r="327695" spans="1:1" x14ac:dyDescent="0.2">
      <c r="A327695" t="s">
        <v>13</v>
      </c>
    </row>
    <row r="327696" spans="1:1" x14ac:dyDescent="0.2">
      <c r="A327696" t="s">
        <v>14</v>
      </c>
    </row>
    <row r="327697" spans="1:1" x14ac:dyDescent="0.2">
      <c r="A327697" t="s">
        <v>15</v>
      </c>
    </row>
    <row r="327698" spans="1:1" x14ac:dyDescent="0.2">
      <c r="A327698" t="s">
        <v>16</v>
      </c>
    </row>
    <row r="327699" spans="1:1" x14ac:dyDescent="0.2">
      <c r="A327699" t="s">
        <v>17</v>
      </c>
    </row>
    <row r="327700" spans="1:1" x14ac:dyDescent="0.2">
      <c r="A327700" t="s">
        <v>18</v>
      </c>
    </row>
    <row r="327701" spans="1:1" x14ac:dyDescent="0.2">
      <c r="A327701" t="s">
        <v>19</v>
      </c>
    </row>
    <row r="327702" spans="1:1" x14ac:dyDescent="0.2">
      <c r="A327702" t="s">
        <v>20</v>
      </c>
    </row>
    <row r="327703" spans="1:1" x14ac:dyDescent="0.2">
      <c r="A327703" t="s">
        <v>21</v>
      </c>
    </row>
    <row r="327704" spans="1:1" x14ac:dyDescent="0.2">
      <c r="A327704" t="s">
        <v>22</v>
      </c>
    </row>
    <row r="327705" spans="1:1" x14ac:dyDescent="0.2">
      <c r="A327705" t="s">
        <v>23</v>
      </c>
    </row>
    <row r="327706" spans="1:1" x14ac:dyDescent="0.2">
      <c r="A327706" t="s">
        <v>24</v>
      </c>
    </row>
    <row r="327707" spans="1:1" x14ac:dyDescent="0.2">
      <c r="A327707" t="s">
        <v>25</v>
      </c>
    </row>
    <row r="327708" spans="1:1" x14ac:dyDescent="0.2">
      <c r="A327708" t="s">
        <v>26</v>
      </c>
    </row>
    <row r="327709" spans="1:1" x14ac:dyDescent="0.2">
      <c r="A327709" t="s">
        <v>27</v>
      </c>
    </row>
    <row r="327710" spans="1:1" x14ac:dyDescent="0.2">
      <c r="A327710" t="s">
        <v>28</v>
      </c>
    </row>
    <row r="327711" spans="1:1" x14ac:dyDescent="0.2">
      <c r="A327711" t="s">
        <v>29</v>
      </c>
    </row>
    <row r="327712" spans="1:1" x14ac:dyDescent="0.2">
      <c r="A327712" t="s">
        <v>30</v>
      </c>
    </row>
    <row r="327713" spans="1:1" x14ac:dyDescent="0.2">
      <c r="A327713" t="s">
        <v>31</v>
      </c>
    </row>
    <row r="327714" spans="1:1" x14ac:dyDescent="0.2">
      <c r="A327714" t="s">
        <v>32</v>
      </c>
    </row>
    <row r="344066" spans="1:1" x14ac:dyDescent="0.2">
      <c r="A344066" t="s">
        <v>0</v>
      </c>
    </row>
    <row r="344067" spans="1:1" x14ac:dyDescent="0.2">
      <c r="A344067" t="s">
        <v>1</v>
      </c>
    </row>
    <row r="344068" spans="1:1" x14ac:dyDescent="0.2">
      <c r="A344068" t="s">
        <v>2</v>
      </c>
    </row>
    <row r="344069" spans="1:1" x14ac:dyDescent="0.2">
      <c r="A344069" t="s">
        <v>3</v>
      </c>
    </row>
    <row r="344070" spans="1:1" x14ac:dyDescent="0.2">
      <c r="A344070" t="s">
        <v>4</v>
      </c>
    </row>
    <row r="344071" spans="1:1" x14ac:dyDescent="0.2">
      <c r="A344071" t="s">
        <v>5</v>
      </c>
    </row>
    <row r="344072" spans="1:1" x14ac:dyDescent="0.2">
      <c r="A344072" t="s">
        <v>6</v>
      </c>
    </row>
    <row r="344073" spans="1:1" x14ac:dyDescent="0.2">
      <c r="A344073" t="s">
        <v>7</v>
      </c>
    </row>
    <row r="344074" spans="1:1" x14ac:dyDescent="0.2">
      <c r="A344074" t="s">
        <v>8</v>
      </c>
    </row>
    <row r="344075" spans="1:1" x14ac:dyDescent="0.2">
      <c r="A344075" t="s">
        <v>9</v>
      </c>
    </row>
    <row r="344076" spans="1:1" x14ac:dyDescent="0.2">
      <c r="A344076" t="s">
        <v>10</v>
      </c>
    </row>
    <row r="344077" spans="1:1" x14ac:dyDescent="0.2">
      <c r="A344077" t="s">
        <v>11</v>
      </c>
    </row>
    <row r="344078" spans="1:1" x14ac:dyDescent="0.2">
      <c r="A344078" t="s">
        <v>12</v>
      </c>
    </row>
    <row r="344079" spans="1:1" x14ac:dyDescent="0.2">
      <c r="A344079" t="s">
        <v>13</v>
      </c>
    </row>
    <row r="344080" spans="1:1" x14ac:dyDescent="0.2">
      <c r="A344080" t="s">
        <v>14</v>
      </c>
    </row>
    <row r="344081" spans="1:1" x14ac:dyDescent="0.2">
      <c r="A344081" t="s">
        <v>15</v>
      </c>
    </row>
    <row r="344082" spans="1:1" x14ac:dyDescent="0.2">
      <c r="A344082" t="s">
        <v>16</v>
      </c>
    </row>
    <row r="344083" spans="1:1" x14ac:dyDescent="0.2">
      <c r="A344083" t="s">
        <v>17</v>
      </c>
    </row>
    <row r="344084" spans="1:1" x14ac:dyDescent="0.2">
      <c r="A344084" t="s">
        <v>18</v>
      </c>
    </row>
    <row r="344085" spans="1:1" x14ac:dyDescent="0.2">
      <c r="A344085" t="s">
        <v>19</v>
      </c>
    </row>
    <row r="344086" spans="1:1" x14ac:dyDescent="0.2">
      <c r="A344086" t="s">
        <v>20</v>
      </c>
    </row>
    <row r="344087" spans="1:1" x14ac:dyDescent="0.2">
      <c r="A344087" t="s">
        <v>21</v>
      </c>
    </row>
    <row r="344088" spans="1:1" x14ac:dyDescent="0.2">
      <c r="A344088" t="s">
        <v>22</v>
      </c>
    </row>
    <row r="344089" spans="1:1" x14ac:dyDescent="0.2">
      <c r="A344089" t="s">
        <v>23</v>
      </c>
    </row>
    <row r="344090" spans="1:1" x14ac:dyDescent="0.2">
      <c r="A344090" t="s">
        <v>24</v>
      </c>
    </row>
    <row r="344091" spans="1:1" x14ac:dyDescent="0.2">
      <c r="A344091" t="s">
        <v>25</v>
      </c>
    </row>
    <row r="344092" spans="1:1" x14ac:dyDescent="0.2">
      <c r="A344092" t="s">
        <v>26</v>
      </c>
    </row>
    <row r="344093" spans="1:1" x14ac:dyDescent="0.2">
      <c r="A344093" t="s">
        <v>27</v>
      </c>
    </row>
    <row r="344094" spans="1:1" x14ac:dyDescent="0.2">
      <c r="A344094" t="s">
        <v>28</v>
      </c>
    </row>
    <row r="344095" spans="1:1" x14ac:dyDescent="0.2">
      <c r="A344095" t="s">
        <v>29</v>
      </c>
    </row>
    <row r="344096" spans="1:1" x14ac:dyDescent="0.2">
      <c r="A344096" t="s">
        <v>30</v>
      </c>
    </row>
    <row r="344097" spans="1:1" x14ac:dyDescent="0.2">
      <c r="A344097" t="s">
        <v>31</v>
      </c>
    </row>
    <row r="344098" spans="1:1" x14ac:dyDescent="0.2">
      <c r="A344098" t="s">
        <v>32</v>
      </c>
    </row>
    <row r="360450" spans="1:1" x14ac:dyDescent="0.2">
      <c r="A360450" t="s">
        <v>0</v>
      </c>
    </row>
    <row r="360451" spans="1:1" x14ac:dyDescent="0.2">
      <c r="A360451" t="s">
        <v>1</v>
      </c>
    </row>
    <row r="360452" spans="1:1" x14ac:dyDescent="0.2">
      <c r="A360452" t="s">
        <v>2</v>
      </c>
    </row>
    <row r="360453" spans="1:1" x14ac:dyDescent="0.2">
      <c r="A360453" t="s">
        <v>3</v>
      </c>
    </row>
    <row r="360454" spans="1:1" x14ac:dyDescent="0.2">
      <c r="A360454" t="s">
        <v>4</v>
      </c>
    </row>
    <row r="360455" spans="1:1" x14ac:dyDescent="0.2">
      <c r="A360455" t="s">
        <v>5</v>
      </c>
    </row>
    <row r="360456" spans="1:1" x14ac:dyDescent="0.2">
      <c r="A360456" t="s">
        <v>6</v>
      </c>
    </row>
    <row r="360457" spans="1:1" x14ac:dyDescent="0.2">
      <c r="A360457" t="s">
        <v>7</v>
      </c>
    </row>
    <row r="360458" spans="1:1" x14ac:dyDescent="0.2">
      <c r="A360458" t="s">
        <v>8</v>
      </c>
    </row>
    <row r="360459" spans="1:1" x14ac:dyDescent="0.2">
      <c r="A360459" t="s">
        <v>9</v>
      </c>
    </row>
    <row r="360460" spans="1:1" x14ac:dyDescent="0.2">
      <c r="A360460" t="s">
        <v>10</v>
      </c>
    </row>
    <row r="360461" spans="1:1" x14ac:dyDescent="0.2">
      <c r="A360461" t="s">
        <v>11</v>
      </c>
    </row>
    <row r="360462" spans="1:1" x14ac:dyDescent="0.2">
      <c r="A360462" t="s">
        <v>12</v>
      </c>
    </row>
    <row r="360463" spans="1:1" x14ac:dyDescent="0.2">
      <c r="A360463" t="s">
        <v>13</v>
      </c>
    </row>
    <row r="360464" spans="1:1" x14ac:dyDescent="0.2">
      <c r="A360464" t="s">
        <v>14</v>
      </c>
    </row>
    <row r="360465" spans="1:1" x14ac:dyDescent="0.2">
      <c r="A360465" t="s">
        <v>15</v>
      </c>
    </row>
    <row r="360466" spans="1:1" x14ac:dyDescent="0.2">
      <c r="A360466" t="s">
        <v>16</v>
      </c>
    </row>
    <row r="360467" spans="1:1" x14ac:dyDescent="0.2">
      <c r="A360467" t="s">
        <v>17</v>
      </c>
    </row>
    <row r="360468" spans="1:1" x14ac:dyDescent="0.2">
      <c r="A360468" t="s">
        <v>18</v>
      </c>
    </row>
    <row r="360469" spans="1:1" x14ac:dyDescent="0.2">
      <c r="A360469" t="s">
        <v>19</v>
      </c>
    </row>
    <row r="360470" spans="1:1" x14ac:dyDescent="0.2">
      <c r="A360470" t="s">
        <v>20</v>
      </c>
    </row>
    <row r="360471" spans="1:1" x14ac:dyDescent="0.2">
      <c r="A360471" t="s">
        <v>21</v>
      </c>
    </row>
    <row r="360472" spans="1:1" x14ac:dyDescent="0.2">
      <c r="A360472" t="s">
        <v>22</v>
      </c>
    </row>
    <row r="360473" spans="1:1" x14ac:dyDescent="0.2">
      <c r="A360473" t="s">
        <v>23</v>
      </c>
    </row>
    <row r="360474" spans="1:1" x14ac:dyDescent="0.2">
      <c r="A360474" t="s">
        <v>24</v>
      </c>
    </row>
    <row r="360475" spans="1:1" x14ac:dyDescent="0.2">
      <c r="A360475" t="s">
        <v>25</v>
      </c>
    </row>
    <row r="360476" spans="1:1" x14ac:dyDescent="0.2">
      <c r="A360476" t="s">
        <v>26</v>
      </c>
    </row>
    <row r="360477" spans="1:1" x14ac:dyDescent="0.2">
      <c r="A360477" t="s">
        <v>27</v>
      </c>
    </row>
    <row r="360478" spans="1:1" x14ac:dyDescent="0.2">
      <c r="A360478" t="s">
        <v>28</v>
      </c>
    </row>
    <row r="360479" spans="1:1" x14ac:dyDescent="0.2">
      <c r="A360479" t="s">
        <v>29</v>
      </c>
    </row>
    <row r="360480" spans="1:1" x14ac:dyDescent="0.2">
      <c r="A360480" t="s">
        <v>30</v>
      </c>
    </row>
    <row r="360481" spans="1:1" x14ac:dyDescent="0.2">
      <c r="A360481" t="s">
        <v>31</v>
      </c>
    </row>
    <row r="360482" spans="1:1" x14ac:dyDescent="0.2">
      <c r="A360482" t="s">
        <v>32</v>
      </c>
    </row>
    <row r="376834" spans="1:1" x14ac:dyDescent="0.2">
      <c r="A376834" t="s">
        <v>0</v>
      </c>
    </row>
    <row r="376835" spans="1:1" x14ac:dyDescent="0.2">
      <c r="A376835" t="s">
        <v>1</v>
      </c>
    </row>
    <row r="376836" spans="1:1" x14ac:dyDescent="0.2">
      <c r="A376836" t="s">
        <v>2</v>
      </c>
    </row>
    <row r="376837" spans="1:1" x14ac:dyDescent="0.2">
      <c r="A376837" t="s">
        <v>3</v>
      </c>
    </row>
    <row r="376838" spans="1:1" x14ac:dyDescent="0.2">
      <c r="A376838" t="s">
        <v>4</v>
      </c>
    </row>
    <row r="376839" spans="1:1" x14ac:dyDescent="0.2">
      <c r="A376839" t="s">
        <v>5</v>
      </c>
    </row>
    <row r="376840" spans="1:1" x14ac:dyDescent="0.2">
      <c r="A376840" t="s">
        <v>6</v>
      </c>
    </row>
    <row r="376841" spans="1:1" x14ac:dyDescent="0.2">
      <c r="A376841" t="s">
        <v>7</v>
      </c>
    </row>
    <row r="376842" spans="1:1" x14ac:dyDescent="0.2">
      <c r="A376842" t="s">
        <v>8</v>
      </c>
    </row>
    <row r="376843" spans="1:1" x14ac:dyDescent="0.2">
      <c r="A376843" t="s">
        <v>9</v>
      </c>
    </row>
    <row r="376844" spans="1:1" x14ac:dyDescent="0.2">
      <c r="A376844" t="s">
        <v>10</v>
      </c>
    </row>
    <row r="376845" spans="1:1" x14ac:dyDescent="0.2">
      <c r="A376845" t="s">
        <v>11</v>
      </c>
    </row>
    <row r="376846" spans="1:1" x14ac:dyDescent="0.2">
      <c r="A376846" t="s">
        <v>12</v>
      </c>
    </row>
    <row r="376847" spans="1:1" x14ac:dyDescent="0.2">
      <c r="A376847" t="s">
        <v>13</v>
      </c>
    </row>
    <row r="376848" spans="1:1" x14ac:dyDescent="0.2">
      <c r="A376848" t="s">
        <v>14</v>
      </c>
    </row>
    <row r="376849" spans="1:1" x14ac:dyDescent="0.2">
      <c r="A376849" t="s">
        <v>15</v>
      </c>
    </row>
    <row r="376850" spans="1:1" x14ac:dyDescent="0.2">
      <c r="A376850" t="s">
        <v>16</v>
      </c>
    </row>
    <row r="376851" spans="1:1" x14ac:dyDescent="0.2">
      <c r="A376851" t="s">
        <v>17</v>
      </c>
    </row>
    <row r="376852" spans="1:1" x14ac:dyDescent="0.2">
      <c r="A376852" t="s">
        <v>18</v>
      </c>
    </row>
    <row r="376853" spans="1:1" x14ac:dyDescent="0.2">
      <c r="A376853" t="s">
        <v>19</v>
      </c>
    </row>
    <row r="376854" spans="1:1" x14ac:dyDescent="0.2">
      <c r="A376854" t="s">
        <v>20</v>
      </c>
    </row>
    <row r="376855" spans="1:1" x14ac:dyDescent="0.2">
      <c r="A376855" t="s">
        <v>21</v>
      </c>
    </row>
    <row r="376856" spans="1:1" x14ac:dyDescent="0.2">
      <c r="A376856" t="s">
        <v>22</v>
      </c>
    </row>
    <row r="376857" spans="1:1" x14ac:dyDescent="0.2">
      <c r="A376857" t="s">
        <v>23</v>
      </c>
    </row>
    <row r="376858" spans="1:1" x14ac:dyDescent="0.2">
      <c r="A376858" t="s">
        <v>24</v>
      </c>
    </row>
    <row r="376859" spans="1:1" x14ac:dyDescent="0.2">
      <c r="A376859" t="s">
        <v>25</v>
      </c>
    </row>
    <row r="376860" spans="1:1" x14ac:dyDescent="0.2">
      <c r="A376860" t="s">
        <v>26</v>
      </c>
    </row>
    <row r="376861" spans="1:1" x14ac:dyDescent="0.2">
      <c r="A376861" t="s">
        <v>27</v>
      </c>
    </row>
    <row r="376862" spans="1:1" x14ac:dyDescent="0.2">
      <c r="A376862" t="s">
        <v>28</v>
      </c>
    </row>
    <row r="376863" spans="1:1" x14ac:dyDescent="0.2">
      <c r="A376863" t="s">
        <v>29</v>
      </c>
    </row>
    <row r="376864" spans="1:1" x14ac:dyDescent="0.2">
      <c r="A376864" t="s">
        <v>30</v>
      </c>
    </row>
    <row r="376865" spans="1:1" x14ac:dyDescent="0.2">
      <c r="A376865" t="s">
        <v>31</v>
      </c>
    </row>
    <row r="376866" spans="1:1" x14ac:dyDescent="0.2">
      <c r="A376866" t="s">
        <v>32</v>
      </c>
    </row>
    <row r="393218" spans="1:1" x14ac:dyDescent="0.2">
      <c r="A393218" t="s">
        <v>0</v>
      </c>
    </row>
    <row r="393219" spans="1:1" x14ac:dyDescent="0.2">
      <c r="A393219" t="s">
        <v>1</v>
      </c>
    </row>
    <row r="393220" spans="1:1" x14ac:dyDescent="0.2">
      <c r="A393220" t="s">
        <v>2</v>
      </c>
    </row>
    <row r="393221" spans="1:1" x14ac:dyDescent="0.2">
      <c r="A393221" t="s">
        <v>3</v>
      </c>
    </row>
    <row r="393222" spans="1:1" x14ac:dyDescent="0.2">
      <c r="A393222" t="s">
        <v>4</v>
      </c>
    </row>
    <row r="393223" spans="1:1" x14ac:dyDescent="0.2">
      <c r="A393223" t="s">
        <v>5</v>
      </c>
    </row>
    <row r="393224" spans="1:1" x14ac:dyDescent="0.2">
      <c r="A393224" t="s">
        <v>6</v>
      </c>
    </row>
    <row r="393225" spans="1:1" x14ac:dyDescent="0.2">
      <c r="A393225" t="s">
        <v>7</v>
      </c>
    </row>
    <row r="393226" spans="1:1" x14ac:dyDescent="0.2">
      <c r="A393226" t="s">
        <v>8</v>
      </c>
    </row>
    <row r="393227" spans="1:1" x14ac:dyDescent="0.2">
      <c r="A393227" t="s">
        <v>9</v>
      </c>
    </row>
    <row r="393228" spans="1:1" x14ac:dyDescent="0.2">
      <c r="A393228" t="s">
        <v>10</v>
      </c>
    </row>
    <row r="393229" spans="1:1" x14ac:dyDescent="0.2">
      <c r="A393229" t="s">
        <v>11</v>
      </c>
    </row>
    <row r="393230" spans="1:1" x14ac:dyDescent="0.2">
      <c r="A393230" t="s">
        <v>12</v>
      </c>
    </row>
    <row r="393231" spans="1:1" x14ac:dyDescent="0.2">
      <c r="A393231" t="s">
        <v>13</v>
      </c>
    </row>
    <row r="393232" spans="1:1" x14ac:dyDescent="0.2">
      <c r="A393232" t="s">
        <v>14</v>
      </c>
    </row>
    <row r="393233" spans="1:1" x14ac:dyDescent="0.2">
      <c r="A393233" t="s">
        <v>15</v>
      </c>
    </row>
    <row r="393234" spans="1:1" x14ac:dyDescent="0.2">
      <c r="A393234" t="s">
        <v>16</v>
      </c>
    </row>
    <row r="393235" spans="1:1" x14ac:dyDescent="0.2">
      <c r="A393235" t="s">
        <v>17</v>
      </c>
    </row>
    <row r="393236" spans="1:1" x14ac:dyDescent="0.2">
      <c r="A393236" t="s">
        <v>18</v>
      </c>
    </row>
    <row r="393237" spans="1:1" x14ac:dyDescent="0.2">
      <c r="A393237" t="s">
        <v>19</v>
      </c>
    </row>
    <row r="393238" spans="1:1" x14ac:dyDescent="0.2">
      <c r="A393238" t="s">
        <v>20</v>
      </c>
    </row>
    <row r="393239" spans="1:1" x14ac:dyDescent="0.2">
      <c r="A393239" t="s">
        <v>21</v>
      </c>
    </row>
    <row r="393240" spans="1:1" x14ac:dyDescent="0.2">
      <c r="A393240" t="s">
        <v>22</v>
      </c>
    </row>
    <row r="393241" spans="1:1" x14ac:dyDescent="0.2">
      <c r="A393241" t="s">
        <v>23</v>
      </c>
    </row>
    <row r="393242" spans="1:1" x14ac:dyDescent="0.2">
      <c r="A393242" t="s">
        <v>24</v>
      </c>
    </row>
    <row r="393243" spans="1:1" x14ac:dyDescent="0.2">
      <c r="A393243" t="s">
        <v>25</v>
      </c>
    </row>
    <row r="393244" spans="1:1" x14ac:dyDescent="0.2">
      <c r="A393244" t="s">
        <v>26</v>
      </c>
    </row>
    <row r="393245" spans="1:1" x14ac:dyDescent="0.2">
      <c r="A393245" t="s">
        <v>27</v>
      </c>
    </row>
    <row r="393246" spans="1:1" x14ac:dyDescent="0.2">
      <c r="A393246" t="s">
        <v>28</v>
      </c>
    </row>
    <row r="393247" spans="1:1" x14ac:dyDescent="0.2">
      <c r="A393247" t="s">
        <v>29</v>
      </c>
    </row>
    <row r="393248" spans="1:1" x14ac:dyDescent="0.2">
      <c r="A393248" t="s">
        <v>30</v>
      </c>
    </row>
    <row r="393249" spans="1:1" x14ac:dyDescent="0.2">
      <c r="A393249" t="s">
        <v>31</v>
      </c>
    </row>
    <row r="393250" spans="1:1" x14ac:dyDescent="0.2">
      <c r="A393250" t="s">
        <v>32</v>
      </c>
    </row>
    <row r="409602" spans="1:1" x14ac:dyDescent="0.2">
      <c r="A409602" t="s">
        <v>0</v>
      </c>
    </row>
    <row r="409603" spans="1:1" x14ac:dyDescent="0.2">
      <c r="A409603" t="s">
        <v>1</v>
      </c>
    </row>
    <row r="409604" spans="1:1" x14ac:dyDescent="0.2">
      <c r="A409604" t="s">
        <v>2</v>
      </c>
    </row>
    <row r="409605" spans="1:1" x14ac:dyDescent="0.2">
      <c r="A409605" t="s">
        <v>3</v>
      </c>
    </row>
    <row r="409606" spans="1:1" x14ac:dyDescent="0.2">
      <c r="A409606" t="s">
        <v>4</v>
      </c>
    </row>
    <row r="409607" spans="1:1" x14ac:dyDescent="0.2">
      <c r="A409607" t="s">
        <v>5</v>
      </c>
    </row>
    <row r="409608" spans="1:1" x14ac:dyDescent="0.2">
      <c r="A409608" t="s">
        <v>6</v>
      </c>
    </row>
    <row r="409609" spans="1:1" x14ac:dyDescent="0.2">
      <c r="A409609" t="s">
        <v>7</v>
      </c>
    </row>
    <row r="409610" spans="1:1" x14ac:dyDescent="0.2">
      <c r="A409610" t="s">
        <v>8</v>
      </c>
    </row>
    <row r="409611" spans="1:1" x14ac:dyDescent="0.2">
      <c r="A409611" t="s">
        <v>9</v>
      </c>
    </row>
    <row r="409612" spans="1:1" x14ac:dyDescent="0.2">
      <c r="A409612" t="s">
        <v>10</v>
      </c>
    </row>
    <row r="409613" spans="1:1" x14ac:dyDescent="0.2">
      <c r="A409613" t="s">
        <v>11</v>
      </c>
    </row>
    <row r="409614" spans="1:1" x14ac:dyDescent="0.2">
      <c r="A409614" t="s">
        <v>12</v>
      </c>
    </row>
    <row r="409615" spans="1:1" x14ac:dyDescent="0.2">
      <c r="A409615" t="s">
        <v>13</v>
      </c>
    </row>
    <row r="409616" spans="1:1" x14ac:dyDescent="0.2">
      <c r="A409616" t="s">
        <v>14</v>
      </c>
    </row>
    <row r="409617" spans="1:1" x14ac:dyDescent="0.2">
      <c r="A409617" t="s">
        <v>15</v>
      </c>
    </row>
    <row r="409618" spans="1:1" x14ac:dyDescent="0.2">
      <c r="A409618" t="s">
        <v>16</v>
      </c>
    </row>
    <row r="409619" spans="1:1" x14ac:dyDescent="0.2">
      <c r="A409619" t="s">
        <v>17</v>
      </c>
    </row>
    <row r="409620" spans="1:1" x14ac:dyDescent="0.2">
      <c r="A409620" t="s">
        <v>18</v>
      </c>
    </row>
    <row r="409621" spans="1:1" x14ac:dyDescent="0.2">
      <c r="A409621" t="s">
        <v>19</v>
      </c>
    </row>
    <row r="409622" spans="1:1" x14ac:dyDescent="0.2">
      <c r="A409622" t="s">
        <v>20</v>
      </c>
    </row>
    <row r="409623" spans="1:1" x14ac:dyDescent="0.2">
      <c r="A409623" t="s">
        <v>21</v>
      </c>
    </row>
    <row r="409624" spans="1:1" x14ac:dyDescent="0.2">
      <c r="A409624" t="s">
        <v>22</v>
      </c>
    </row>
    <row r="409625" spans="1:1" x14ac:dyDescent="0.2">
      <c r="A409625" t="s">
        <v>23</v>
      </c>
    </row>
    <row r="409626" spans="1:1" x14ac:dyDescent="0.2">
      <c r="A409626" t="s">
        <v>24</v>
      </c>
    </row>
    <row r="409627" spans="1:1" x14ac:dyDescent="0.2">
      <c r="A409627" t="s">
        <v>25</v>
      </c>
    </row>
    <row r="409628" spans="1:1" x14ac:dyDescent="0.2">
      <c r="A409628" t="s">
        <v>26</v>
      </c>
    </row>
    <row r="409629" spans="1:1" x14ac:dyDescent="0.2">
      <c r="A409629" t="s">
        <v>27</v>
      </c>
    </row>
    <row r="409630" spans="1:1" x14ac:dyDescent="0.2">
      <c r="A409630" t="s">
        <v>28</v>
      </c>
    </row>
    <row r="409631" spans="1:1" x14ac:dyDescent="0.2">
      <c r="A409631" t="s">
        <v>29</v>
      </c>
    </row>
    <row r="409632" spans="1:1" x14ac:dyDescent="0.2">
      <c r="A409632" t="s">
        <v>30</v>
      </c>
    </row>
    <row r="409633" spans="1:1" x14ac:dyDescent="0.2">
      <c r="A409633" t="s">
        <v>31</v>
      </c>
    </row>
    <row r="409634" spans="1:1" x14ac:dyDescent="0.2">
      <c r="A409634" t="s">
        <v>32</v>
      </c>
    </row>
    <row r="425986" spans="1:1" x14ac:dyDescent="0.2">
      <c r="A425986" t="s">
        <v>0</v>
      </c>
    </row>
    <row r="425987" spans="1:1" x14ac:dyDescent="0.2">
      <c r="A425987" t="s">
        <v>1</v>
      </c>
    </row>
    <row r="425988" spans="1:1" x14ac:dyDescent="0.2">
      <c r="A425988" t="s">
        <v>2</v>
      </c>
    </row>
    <row r="425989" spans="1:1" x14ac:dyDescent="0.2">
      <c r="A425989" t="s">
        <v>3</v>
      </c>
    </row>
    <row r="425990" spans="1:1" x14ac:dyDescent="0.2">
      <c r="A425990" t="s">
        <v>4</v>
      </c>
    </row>
    <row r="425991" spans="1:1" x14ac:dyDescent="0.2">
      <c r="A425991" t="s">
        <v>5</v>
      </c>
    </row>
    <row r="425992" spans="1:1" x14ac:dyDescent="0.2">
      <c r="A425992" t="s">
        <v>6</v>
      </c>
    </row>
    <row r="425993" spans="1:1" x14ac:dyDescent="0.2">
      <c r="A425993" t="s">
        <v>7</v>
      </c>
    </row>
    <row r="425994" spans="1:1" x14ac:dyDescent="0.2">
      <c r="A425994" t="s">
        <v>8</v>
      </c>
    </row>
    <row r="425995" spans="1:1" x14ac:dyDescent="0.2">
      <c r="A425995" t="s">
        <v>9</v>
      </c>
    </row>
    <row r="425996" spans="1:1" x14ac:dyDescent="0.2">
      <c r="A425996" t="s">
        <v>10</v>
      </c>
    </row>
    <row r="425997" spans="1:1" x14ac:dyDescent="0.2">
      <c r="A425997" t="s">
        <v>11</v>
      </c>
    </row>
    <row r="425998" spans="1:1" x14ac:dyDescent="0.2">
      <c r="A425998" t="s">
        <v>12</v>
      </c>
    </row>
    <row r="425999" spans="1:1" x14ac:dyDescent="0.2">
      <c r="A425999" t="s">
        <v>13</v>
      </c>
    </row>
    <row r="426000" spans="1:1" x14ac:dyDescent="0.2">
      <c r="A426000" t="s">
        <v>14</v>
      </c>
    </row>
    <row r="426001" spans="1:1" x14ac:dyDescent="0.2">
      <c r="A426001" t="s">
        <v>15</v>
      </c>
    </row>
    <row r="426002" spans="1:1" x14ac:dyDescent="0.2">
      <c r="A426002" t="s">
        <v>16</v>
      </c>
    </row>
    <row r="426003" spans="1:1" x14ac:dyDescent="0.2">
      <c r="A426003" t="s">
        <v>17</v>
      </c>
    </row>
    <row r="426004" spans="1:1" x14ac:dyDescent="0.2">
      <c r="A426004" t="s">
        <v>18</v>
      </c>
    </row>
    <row r="426005" spans="1:1" x14ac:dyDescent="0.2">
      <c r="A426005" t="s">
        <v>19</v>
      </c>
    </row>
    <row r="426006" spans="1:1" x14ac:dyDescent="0.2">
      <c r="A426006" t="s">
        <v>20</v>
      </c>
    </row>
    <row r="426007" spans="1:1" x14ac:dyDescent="0.2">
      <c r="A426007" t="s">
        <v>21</v>
      </c>
    </row>
    <row r="426008" spans="1:1" x14ac:dyDescent="0.2">
      <c r="A426008" t="s">
        <v>22</v>
      </c>
    </row>
    <row r="426009" spans="1:1" x14ac:dyDescent="0.2">
      <c r="A426009" t="s">
        <v>23</v>
      </c>
    </row>
    <row r="426010" spans="1:1" x14ac:dyDescent="0.2">
      <c r="A426010" t="s">
        <v>24</v>
      </c>
    </row>
    <row r="426011" spans="1:1" x14ac:dyDescent="0.2">
      <c r="A426011" t="s">
        <v>25</v>
      </c>
    </row>
    <row r="426012" spans="1:1" x14ac:dyDescent="0.2">
      <c r="A426012" t="s">
        <v>26</v>
      </c>
    </row>
    <row r="426013" spans="1:1" x14ac:dyDescent="0.2">
      <c r="A426013" t="s">
        <v>27</v>
      </c>
    </row>
    <row r="426014" spans="1:1" x14ac:dyDescent="0.2">
      <c r="A426014" t="s">
        <v>28</v>
      </c>
    </row>
    <row r="426015" spans="1:1" x14ac:dyDescent="0.2">
      <c r="A426015" t="s">
        <v>29</v>
      </c>
    </row>
    <row r="426016" spans="1:1" x14ac:dyDescent="0.2">
      <c r="A426016" t="s">
        <v>30</v>
      </c>
    </row>
    <row r="426017" spans="1:1" x14ac:dyDescent="0.2">
      <c r="A426017" t="s">
        <v>31</v>
      </c>
    </row>
    <row r="426018" spans="1:1" x14ac:dyDescent="0.2">
      <c r="A426018" t="s">
        <v>32</v>
      </c>
    </row>
    <row r="442370" spans="1:1" x14ac:dyDescent="0.2">
      <c r="A442370" t="s">
        <v>0</v>
      </c>
    </row>
    <row r="442371" spans="1:1" x14ac:dyDescent="0.2">
      <c r="A442371" t="s">
        <v>1</v>
      </c>
    </row>
    <row r="442372" spans="1:1" x14ac:dyDescent="0.2">
      <c r="A442372" t="s">
        <v>2</v>
      </c>
    </row>
    <row r="442373" spans="1:1" x14ac:dyDescent="0.2">
      <c r="A442373" t="s">
        <v>3</v>
      </c>
    </row>
    <row r="442374" spans="1:1" x14ac:dyDescent="0.2">
      <c r="A442374" t="s">
        <v>4</v>
      </c>
    </row>
    <row r="442375" spans="1:1" x14ac:dyDescent="0.2">
      <c r="A442375" t="s">
        <v>5</v>
      </c>
    </row>
    <row r="442376" spans="1:1" x14ac:dyDescent="0.2">
      <c r="A442376" t="s">
        <v>6</v>
      </c>
    </row>
    <row r="442377" spans="1:1" x14ac:dyDescent="0.2">
      <c r="A442377" t="s">
        <v>7</v>
      </c>
    </row>
    <row r="442378" spans="1:1" x14ac:dyDescent="0.2">
      <c r="A442378" t="s">
        <v>8</v>
      </c>
    </row>
    <row r="442379" spans="1:1" x14ac:dyDescent="0.2">
      <c r="A442379" t="s">
        <v>9</v>
      </c>
    </row>
    <row r="442380" spans="1:1" x14ac:dyDescent="0.2">
      <c r="A442380" t="s">
        <v>10</v>
      </c>
    </row>
    <row r="442381" spans="1:1" x14ac:dyDescent="0.2">
      <c r="A442381" t="s">
        <v>11</v>
      </c>
    </row>
    <row r="442382" spans="1:1" x14ac:dyDescent="0.2">
      <c r="A442382" t="s">
        <v>12</v>
      </c>
    </row>
    <row r="442383" spans="1:1" x14ac:dyDescent="0.2">
      <c r="A442383" t="s">
        <v>13</v>
      </c>
    </row>
    <row r="442384" spans="1:1" x14ac:dyDescent="0.2">
      <c r="A442384" t="s">
        <v>14</v>
      </c>
    </row>
    <row r="442385" spans="1:1" x14ac:dyDescent="0.2">
      <c r="A442385" t="s">
        <v>15</v>
      </c>
    </row>
    <row r="442386" spans="1:1" x14ac:dyDescent="0.2">
      <c r="A442386" t="s">
        <v>16</v>
      </c>
    </row>
    <row r="442387" spans="1:1" x14ac:dyDescent="0.2">
      <c r="A442387" t="s">
        <v>17</v>
      </c>
    </row>
    <row r="442388" spans="1:1" x14ac:dyDescent="0.2">
      <c r="A442388" t="s">
        <v>18</v>
      </c>
    </row>
    <row r="442389" spans="1:1" x14ac:dyDescent="0.2">
      <c r="A442389" t="s">
        <v>19</v>
      </c>
    </row>
    <row r="442390" spans="1:1" x14ac:dyDescent="0.2">
      <c r="A442390" t="s">
        <v>20</v>
      </c>
    </row>
    <row r="442391" spans="1:1" x14ac:dyDescent="0.2">
      <c r="A442391" t="s">
        <v>21</v>
      </c>
    </row>
    <row r="442392" spans="1:1" x14ac:dyDescent="0.2">
      <c r="A442392" t="s">
        <v>22</v>
      </c>
    </row>
    <row r="442393" spans="1:1" x14ac:dyDescent="0.2">
      <c r="A442393" t="s">
        <v>23</v>
      </c>
    </row>
    <row r="442394" spans="1:1" x14ac:dyDescent="0.2">
      <c r="A442394" t="s">
        <v>24</v>
      </c>
    </row>
    <row r="442395" spans="1:1" x14ac:dyDescent="0.2">
      <c r="A442395" t="s">
        <v>25</v>
      </c>
    </row>
    <row r="442396" spans="1:1" x14ac:dyDescent="0.2">
      <c r="A442396" t="s">
        <v>26</v>
      </c>
    </row>
    <row r="442397" spans="1:1" x14ac:dyDescent="0.2">
      <c r="A442397" t="s">
        <v>27</v>
      </c>
    </row>
    <row r="442398" spans="1:1" x14ac:dyDescent="0.2">
      <c r="A442398" t="s">
        <v>28</v>
      </c>
    </row>
    <row r="442399" spans="1:1" x14ac:dyDescent="0.2">
      <c r="A442399" t="s">
        <v>29</v>
      </c>
    </row>
    <row r="442400" spans="1:1" x14ac:dyDescent="0.2">
      <c r="A442400" t="s">
        <v>30</v>
      </c>
    </row>
    <row r="442401" spans="1:1" x14ac:dyDescent="0.2">
      <c r="A442401" t="s">
        <v>31</v>
      </c>
    </row>
    <row r="442402" spans="1:1" x14ac:dyDescent="0.2">
      <c r="A442402" t="s">
        <v>32</v>
      </c>
    </row>
    <row r="458754" spans="1:1" x14ac:dyDescent="0.2">
      <c r="A458754" t="s">
        <v>0</v>
      </c>
    </row>
    <row r="458755" spans="1:1" x14ac:dyDescent="0.2">
      <c r="A458755" t="s">
        <v>1</v>
      </c>
    </row>
    <row r="458756" spans="1:1" x14ac:dyDescent="0.2">
      <c r="A458756" t="s">
        <v>2</v>
      </c>
    </row>
    <row r="458757" spans="1:1" x14ac:dyDescent="0.2">
      <c r="A458757" t="s">
        <v>3</v>
      </c>
    </row>
    <row r="458758" spans="1:1" x14ac:dyDescent="0.2">
      <c r="A458758" t="s">
        <v>4</v>
      </c>
    </row>
    <row r="458759" spans="1:1" x14ac:dyDescent="0.2">
      <c r="A458759" t="s">
        <v>5</v>
      </c>
    </row>
    <row r="458760" spans="1:1" x14ac:dyDescent="0.2">
      <c r="A458760" t="s">
        <v>6</v>
      </c>
    </row>
    <row r="458761" spans="1:1" x14ac:dyDescent="0.2">
      <c r="A458761" t="s">
        <v>7</v>
      </c>
    </row>
    <row r="458762" spans="1:1" x14ac:dyDescent="0.2">
      <c r="A458762" t="s">
        <v>8</v>
      </c>
    </row>
    <row r="458763" spans="1:1" x14ac:dyDescent="0.2">
      <c r="A458763" t="s">
        <v>9</v>
      </c>
    </row>
    <row r="458764" spans="1:1" x14ac:dyDescent="0.2">
      <c r="A458764" t="s">
        <v>10</v>
      </c>
    </row>
    <row r="458765" spans="1:1" x14ac:dyDescent="0.2">
      <c r="A458765" t="s">
        <v>11</v>
      </c>
    </row>
    <row r="458766" spans="1:1" x14ac:dyDescent="0.2">
      <c r="A458766" t="s">
        <v>12</v>
      </c>
    </row>
    <row r="458767" spans="1:1" x14ac:dyDescent="0.2">
      <c r="A458767" t="s">
        <v>13</v>
      </c>
    </row>
    <row r="458768" spans="1:1" x14ac:dyDescent="0.2">
      <c r="A458768" t="s">
        <v>14</v>
      </c>
    </row>
    <row r="458769" spans="1:1" x14ac:dyDescent="0.2">
      <c r="A458769" t="s">
        <v>15</v>
      </c>
    </row>
    <row r="458770" spans="1:1" x14ac:dyDescent="0.2">
      <c r="A458770" t="s">
        <v>16</v>
      </c>
    </row>
    <row r="458771" spans="1:1" x14ac:dyDescent="0.2">
      <c r="A458771" t="s">
        <v>17</v>
      </c>
    </row>
    <row r="458772" spans="1:1" x14ac:dyDescent="0.2">
      <c r="A458772" t="s">
        <v>18</v>
      </c>
    </row>
    <row r="458773" spans="1:1" x14ac:dyDescent="0.2">
      <c r="A458773" t="s">
        <v>19</v>
      </c>
    </row>
    <row r="458774" spans="1:1" x14ac:dyDescent="0.2">
      <c r="A458774" t="s">
        <v>20</v>
      </c>
    </row>
    <row r="458775" spans="1:1" x14ac:dyDescent="0.2">
      <c r="A458775" t="s">
        <v>21</v>
      </c>
    </row>
    <row r="458776" spans="1:1" x14ac:dyDescent="0.2">
      <c r="A458776" t="s">
        <v>22</v>
      </c>
    </row>
    <row r="458777" spans="1:1" x14ac:dyDescent="0.2">
      <c r="A458777" t="s">
        <v>23</v>
      </c>
    </row>
    <row r="458778" spans="1:1" x14ac:dyDescent="0.2">
      <c r="A458778" t="s">
        <v>24</v>
      </c>
    </row>
    <row r="458779" spans="1:1" x14ac:dyDescent="0.2">
      <c r="A458779" t="s">
        <v>25</v>
      </c>
    </row>
    <row r="458780" spans="1:1" x14ac:dyDescent="0.2">
      <c r="A458780" t="s">
        <v>26</v>
      </c>
    </row>
    <row r="458781" spans="1:1" x14ac:dyDescent="0.2">
      <c r="A458781" t="s">
        <v>27</v>
      </c>
    </row>
    <row r="458782" spans="1:1" x14ac:dyDescent="0.2">
      <c r="A458782" t="s">
        <v>28</v>
      </c>
    </row>
    <row r="458783" spans="1:1" x14ac:dyDescent="0.2">
      <c r="A458783" t="s">
        <v>29</v>
      </c>
    </row>
    <row r="458784" spans="1:1" x14ac:dyDescent="0.2">
      <c r="A458784" t="s">
        <v>30</v>
      </c>
    </row>
    <row r="458785" spans="1:1" x14ac:dyDescent="0.2">
      <c r="A458785" t="s">
        <v>31</v>
      </c>
    </row>
    <row r="458786" spans="1:1" x14ac:dyDescent="0.2">
      <c r="A458786" t="s">
        <v>32</v>
      </c>
    </row>
    <row r="475138" spans="1:1" x14ac:dyDescent="0.2">
      <c r="A475138" t="s">
        <v>0</v>
      </c>
    </row>
    <row r="475139" spans="1:1" x14ac:dyDescent="0.2">
      <c r="A475139" t="s">
        <v>1</v>
      </c>
    </row>
    <row r="475140" spans="1:1" x14ac:dyDescent="0.2">
      <c r="A475140" t="s">
        <v>2</v>
      </c>
    </row>
    <row r="475141" spans="1:1" x14ac:dyDescent="0.2">
      <c r="A475141" t="s">
        <v>3</v>
      </c>
    </row>
    <row r="475142" spans="1:1" x14ac:dyDescent="0.2">
      <c r="A475142" t="s">
        <v>4</v>
      </c>
    </row>
    <row r="475143" spans="1:1" x14ac:dyDescent="0.2">
      <c r="A475143" t="s">
        <v>5</v>
      </c>
    </row>
    <row r="475144" spans="1:1" x14ac:dyDescent="0.2">
      <c r="A475144" t="s">
        <v>6</v>
      </c>
    </row>
    <row r="475145" spans="1:1" x14ac:dyDescent="0.2">
      <c r="A475145" t="s">
        <v>7</v>
      </c>
    </row>
    <row r="475146" spans="1:1" x14ac:dyDescent="0.2">
      <c r="A475146" t="s">
        <v>8</v>
      </c>
    </row>
    <row r="475147" spans="1:1" x14ac:dyDescent="0.2">
      <c r="A475147" t="s">
        <v>9</v>
      </c>
    </row>
    <row r="475148" spans="1:1" x14ac:dyDescent="0.2">
      <c r="A475148" t="s">
        <v>10</v>
      </c>
    </row>
    <row r="475149" spans="1:1" x14ac:dyDescent="0.2">
      <c r="A475149" t="s">
        <v>11</v>
      </c>
    </row>
    <row r="475150" spans="1:1" x14ac:dyDescent="0.2">
      <c r="A475150" t="s">
        <v>12</v>
      </c>
    </row>
    <row r="475151" spans="1:1" x14ac:dyDescent="0.2">
      <c r="A475151" t="s">
        <v>13</v>
      </c>
    </row>
    <row r="475152" spans="1:1" x14ac:dyDescent="0.2">
      <c r="A475152" t="s">
        <v>14</v>
      </c>
    </row>
    <row r="475153" spans="1:1" x14ac:dyDescent="0.2">
      <c r="A475153" t="s">
        <v>15</v>
      </c>
    </row>
    <row r="475154" spans="1:1" x14ac:dyDescent="0.2">
      <c r="A475154" t="s">
        <v>16</v>
      </c>
    </row>
    <row r="475155" spans="1:1" x14ac:dyDescent="0.2">
      <c r="A475155" t="s">
        <v>17</v>
      </c>
    </row>
    <row r="475156" spans="1:1" x14ac:dyDescent="0.2">
      <c r="A475156" t="s">
        <v>18</v>
      </c>
    </row>
    <row r="475157" spans="1:1" x14ac:dyDescent="0.2">
      <c r="A475157" t="s">
        <v>19</v>
      </c>
    </row>
    <row r="475158" spans="1:1" x14ac:dyDescent="0.2">
      <c r="A475158" t="s">
        <v>20</v>
      </c>
    </row>
    <row r="475159" spans="1:1" x14ac:dyDescent="0.2">
      <c r="A475159" t="s">
        <v>21</v>
      </c>
    </row>
    <row r="475160" spans="1:1" x14ac:dyDescent="0.2">
      <c r="A475160" t="s">
        <v>22</v>
      </c>
    </row>
    <row r="475161" spans="1:1" x14ac:dyDescent="0.2">
      <c r="A475161" t="s">
        <v>23</v>
      </c>
    </row>
    <row r="475162" spans="1:1" x14ac:dyDescent="0.2">
      <c r="A475162" t="s">
        <v>24</v>
      </c>
    </row>
    <row r="475163" spans="1:1" x14ac:dyDescent="0.2">
      <c r="A475163" t="s">
        <v>25</v>
      </c>
    </row>
    <row r="475164" spans="1:1" x14ac:dyDescent="0.2">
      <c r="A475164" t="s">
        <v>26</v>
      </c>
    </row>
    <row r="475165" spans="1:1" x14ac:dyDescent="0.2">
      <c r="A475165" t="s">
        <v>27</v>
      </c>
    </row>
    <row r="475166" spans="1:1" x14ac:dyDescent="0.2">
      <c r="A475166" t="s">
        <v>28</v>
      </c>
    </row>
    <row r="475167" spans="1:1" x14ac:dyDescent="0.2">
      <c r="A475167" t="s">
        <v>29</v>
      </c>
    </row>
    <row r="475168" spans="1:1" x14ac:dyDescent="0.2">
      <c r="A475168" t="s">
        <v>30</v>
      </c>
    </row>
    <row r="475169" spans="1:1" x14ac:dyDescent="0.2">
      <c r="A475169" t="s">
        <v>31</v>
      </c>
    </row>
    <row r="475170" spans="1:1" x14ac:dyDescent="0.2">
      <c r="A475170" t="s">
        <v>32</v>
      </c>
    </row>
    <row r="491522" spans="1:1" x14ac:dyDescent="0.2">
      <c r="A491522" t="s">
        <v>0</v>
      </c>
    </row>
    <row r="491523" spans="1:1" x14ac:dyDescent="0.2">
      <c r="A491523" t="s">
        <v>1</v>
      </c>
    </row>
    <row r="491524" spans="1:1" x14ac:dyDescent="0.2">
      <c r="A491524" t="s">
        <v>2</v>
      </c>
    </row>
    <row r="491525" spans="1:1" x14ac:dyDescent="0.2">
      <c r="A491525" t="s">
        <v>3</v>
      </c>
    </row>
    <row r="491526" spans="1:1" x14ac:dyDescent="0.2">
      <c r="A491526" t="s">
        <v>4</v>
      </c>
    </row>
    <row r="491527" spans="1:1" x14ac:dyDescent="0.2">
      <c r="A491527" t="s">
        <v>5</v>
      </c>
    </row>
    <row r="491528" spans="1:1" x14ac:dyDescent="0.2">
      <c r="A491528" t="s">
        <v>6</v>
      </c>
    </row>
    <row r="491529" spans="1:1" x14ac:dyDescent="0.2">
      <c r="A491529" t="s">
        <v>7</v>
      </c>
    </row>
    <row r="491530" spans="1:1" x14ac:dyDescent="0.2">
      <c r="A491530" t="s">
        <v>8</v>
      </c>
    </row>
    <row r="491531" spans="1:1" x14ac:dyDescent="0.2">
      <c r="A491531" t="s">
        <v>9</v>
      </c>
    </row>
    <row r="491532" spans="1:1" x14ac:dyDescent="0.2">
      <c r="A491532" t="s">
        <v>10</v>
      </c>
    </row>
    <row r="491533" spans="1:1" x14ac:dyDescent="0.2">
      <c r="A491533" t="s">
        <v>11</v>
      </c>
    </row>
    <row r="491534" spans="1:1" x14ac:dyDescent="0.2">
      <c r="A491534" t="s">
        <v>12</v>
      </c>
    </row>
    <row r="491535" spans="1:1" x14ac:dyDescent="0.2">
      <c r="A491535" t="s">
        <v>13</v>
      </c>
    </row>
    <row r="491536" spans="1:1" x14ac:dyDescent="0.2">
      <c r="A491536" t="s">
        <v>14</v>
      </c>
    </row>
    <row r="491537" spans="1:1" x14ac:dyDescent="0.2">
      <c r="A491537" t="s">
        <v>15</v>
      </c>
    </row>
    <row r="491538" spans="1:1" x14ac:dyDescent="0.2">
      <c r="A491538" t="s">
        <v>16</v>
      </c>
    </row>
    <row r="491539" spans="1:1" x14ac:dyDescent="0.2">
      <c r="A491539" t="s">
        <v>17</v>
      </c>
    </row>
    <row r="491540" spans="1:1" x14ac:dyDescent="0.2">
      <c r="A491540" t="s">
        <v>18</v>
      </c>
    </row>
    <row r="491541" spans="1:1" x14ac:dyDescent="0.2">
      <c r="A491541" t="s">
        <v>19</v>
      </c>
    </row>
    <row r="491542" spans="1:1" x14ac:dyDescent="0.2">
      <c r="A491542" t="s">
        <v>20</v>
      </c>
    </row>
    <row r="491543" spans="1:1" x14ac:dyDescent="0.2">
      <c r="A491543" t="s">
        <v>21</v>
      </c>
    </row>
    <row r="491544" spans="1:1" x14ac:dyDescent="0.2">
      <c r="A491544" t="s">
        <v>22</v>
      </c>
    </row>
    <row r="491545" spans="1:1" x14ac:dyDescent="0.2">
      <c r="A491545" t="s">
        <v>23</v>
      </c>
    </row>
    <row r="491546" spans="1:1" x14ac:dyDescent="0.2">
      <c r="A491546" t="s">
        <v>24</v>
      </c>
    </row>
    <row r="491547" spans="1:1" x14ac:dyDescent="0.2">
      <c r="A491547" t="s">
        <v>25</v>
      </c>
    </row>
    <row r="491548" spans="1:1" x14ac:dyDescent="0.2">
      <c r="A491548" t="s">
        <v>26</v>
      </c>
    </row>
    <row r="491549" spans="1:1" x14ac:dyDescent="0.2">
      <c r="A491549" t="s">
        <v>27</v>
      </c>
    </row>
    <row r="491550" spans="1:1" x14ac:dyDescent="0.2">
      <c r="A491550" t="s">
        <v>28</v>
      </c>
    </row>
    <row r="491551" spans="1:1" x14ac:dyDescent="0.2">
      <c r="A491551" t="s">
        <v>29</v>
      </c>
    </row>
    <row r="491552" spans="1:1" x14ac:dyDescent="0.2">
      <c r="A491552" t="s">
        <v>30</v>
      </c>
    </row>
    <row r="491553" spans="1:1" x14ac:dyDescent="0.2">
      <c r="A491553" t="s">
        <v>31</v>
      </c>
    </row>
    <row r="491554" spans="1:1" x14ac:dyDescent="0.2">
      <c r="A491554" t="s">
        <v>32</v>
      </c>
    </row>
    <row r="507906" spans="1:1" x14ac:dyDescent="0.2">
      <c r="A507906" t="s">
        <v>0</v>
      </c>
    </row>
    <row r="507907" spans="1:1" x14ac:dyDescent="0.2">
      <c r="A507907" t="s">
        <v>1</v>
      </c>
    </row>
    <row r="507908" spans="1:1" x14ac:dyDescent="0.2">
      <c r="A507908" t="s">
        <v>2</v>
      </c>
    </row>
    <row r="507909" spans="1:1" x14ac:dyDescent="0.2">
      <c r="A507909" t="s">
        <v>3</v>
      </c>
    </row>
    <row r="507910" spans="1:1" x14ac:dyDescent="0.2">
      <c r="A507910" t="s">
        <v>4</v>
      </c>
    </row>
    <row r="507911" spans="1:1" x14ac:dyDescent="0.2">
      <c r="A507911" t="s">
        <v>5</v>
      </c>
    </row>
    <row r="507912" spans="1:1" x14ac:dyDescent="0.2">
      <c r="A507912" t="s">
        <v>6</v>
      </c>
    </row>
    <row r="507913" spans="1:1" x14ac:dyDescent="0.2">
      <c r="A507913" t="s">
        <v>7</v>
      </c>
    </row>
    <row r="507914" spans="1:1" x14ac:dyDescent="0.2">
      <c r="A507914" t="s">
        <v>8</v>
      </c>
    </row>
    <row r="507915" spans="1:1" x14ac:dyDescent="0.2">
      <c r="A507915" t="s">
        <v>9</v>
      </c>
    </row>
    <row r="507916" spans="1:1" x14ac:dyDescent="0.2">
      <c r="A507916" t="s">
        <v>10</v>
      </c>
    </row>
    <row r="507917" spans="1:1" x14ac:dyDescent="0.2">
      <c r="A507917" t="s">
        <v>11</v>
      </c>
    </row>
    <row r="507918" spans="1:1" x14ac:dyDescent="0.2">
      <c r="A507918" t="s">
        <v>12</v>
      </c>
    </row>
    <row r="507919" spans="1:1" x14ac:dyDescent="0.2">
      <c r="A507919" t="s">
        <v>13</v>
      </c>
    </row>
    <row r="507920" spans="1:1" x14ac:dyDescent="0.2">
      <c r="A507920" t="s">
        <v>14</v>
      </c>
    </row>
    <row r="507921" spans="1:1" x14ac:dyDescent="0.2">
      <c r="A507921" t="s">
        <v>15</v>
      </c>
    </row>
    <row r="507922" spans="1:1" x14ac:dyDescent="0.2">
      <c r="A507922" t="s">
        <v>16</v>
      </c>
    </row>
    <row r="507923" spans="1:1" x14ac:dyDescent="0.2">
      <c r="A507923" t="s">
        <v>17</v>
      </c>
    </row>
    <row r="507924" spans="1:1" x14ac:dyDescent="0.2">
      <c r="A507924" t="s">
        <v>18</v>
      </c>
    </row>
    <row r="507925" spans="1:1" x14ac:dyDescent="0.2">
      <c r="A507925" t="s">
        <v>19</v>
      </c>
    </row>
    <row r="507926" spans="1:1" x14ac:dyDescent="0.2">
      <c r="A507926" t="s">
        <v>20</v>
      </c>
    </row>
    <row r="507927" spans="1:1" x14ac:dyDescent="0.2">
      <c r="A507927" t="s">
        <v>21</v>
      </c>
    </row>
    <row r="507928" spans="1:1" x14ac:dyDescent="0.2">
      <c r="A507928" t="s">
        <v>22</v>
      </c>
    </row>
    <row r="507929" spans="1:1" x14ac:dyDescent="0.2">
      <c r="A507929" t="s">
        <v>23</v>
      </c>
    </row>
    <row r="507930" spans="1:1" x14ac:dyDescent="0.2">
      <c r="A507930" t="s">
        <v>24</v>
      </c>
    </row>
    <row r="507931" spans="1:1" x14ac:dyDescent="0.2">
      <c r="A507931" t="s">
        <v>25</v>
      </c>
    </row>
    <row r="507932" spans="1:1" x14ac:dyDescent="0.2">
      <c r="A507932" t="s">
        <v>26</v>
      </c>
    </row>
    <row r="507933" spans="1:1" x14ac:dyDescent="0.2">
      <c r="A507933" t="s">
        <v>27</v>
      </c>
    </row>
    <row r="507934" spans="1:1" x14ac:dyDescent="0.2">
      <c r="A507934" t="s">
        <v>28</v>
      </c>
    </row>
    <row r="507935" spans="1:1" x14ac:dyDescent="0.2">
      <c r="A507935" t="s">
        <v>29</v>
      </c>
    </row>
    <row r="507936" spans="1:1" x14ac:dyDescent="0.2">
      <c r="A507936" t="s">
        <v>30</v>
      </c>
    </row>
    <row r="507937" spans="1:1" x14ac:dyDescent="0.2">
      <c r="A507937" t="s">
        <v>31</v>
      </c>
    </row>
    <row r="507938" spans="1:1" x14ac:dyDescent="0.2">
      <c r="A507938" t="s">
        <v>32</v>
      </c>
    </row>
    <row r="524290" spans="1:1" x14ac:dyDescent="0.2">
      <c r="A524290" t="s">
        <v>0</v>
      </c>
    </row>
    <row r="524291" spans="1:1" x14ac:dyDescent="0.2">
      <c r="A524291" t="s">
        <v>1</v>
      </c>
    </row>
    <row r="524292" spans="1:1" x14ac:dyDescent="0.2">
      <c r="A524292" t="s">
        <v>2</v>
      </c>
    </row>
    <row r="524293" spans="1:1" x14ac:dyDescent="0.2">
      <c r="A524293" t="s">
        <v>3</v>
      </c>
    </row>
    <row r="524294" spans="1:1" x14ac:dyDescent="0.2">
      <c r="A524294" t="s">
        <v>4</v>
      </c>
    </row>
    <row r="524295" spans="1:1" x14ac:dyDescent="0.2">
      <c r="A524295" t="s">
        <v>5</v>
      </c>
    </row>
    <row r="524296" spans="1:1" x14ac:dyDescent="0.2">
      <c r="A524296" t="s">
        <v>6</v>
      </c>
    </row>
    <row r="524297" spans="1:1" x14ac:dyDescent="0.2">
      <c r="A524297" t="s">
        <v>7</v>
      </c>
    </row>
    <row r="524298" spans="1:1" x14ac:dyDescent="0.2">
      <c r="A524298" t="s">
        <v>8</v>
      </c>
    </row>
    <row r="524299" spans="1:1" x14ac:dyDescent="0.2">
      <c r="A524299" t="s">
        <v>9</v>
      </c>
    </row>
    <row r="524300" spans="1:1" x14ac:dyDescent="0.2">
      <c r="A524300" t="s">
        <v>10</v>
      </c>
    </row>
    <row r="524301" spans="1:1" x14ac:dyDescent="0.2">
      <c r="A524301" t="s">
        <v>11</v>
      </c>
    </row>
    <row r="524302" spans="1:1" x14ac:dyDescent="0.2">
      <c r="A524302" t="s">
        <v>12</v>
      </c>
    </row>
    <row r="524303" spans="1:1" x14ac:dyDescent="0.2">
      <c r="A524303" t="s">
        <v>13</v>
      </c>
    </row>
    <row r="524304" spans="1:1" x14ac:dyDescent="0.2">
      <c r="A524304" t="s">
        <v>14</v>
      </c>
    </row>
    <row r="524305" spans="1:1" x14ac:dyDescent="0.2">
      <c r="A524305" t="s">
        <v>15</v>
      </c>
    </row>
    <row r="524306" spans="1:1" x14ac:dyDescent="0.2">
      <c r="A524306" t="s">
        <v>16</v>
      </c>
    </row>
    <row r="524307" spans="1:1" x14ac:dyDescent="0.2">
      <c r="A524307" t="s">
        <v>17</v>
      </c>
    </row>
    <row r="524308" spans="1:1" x14ac:dyDescent="0.2">
      <c r="A524308" t="s">
        <v>18</v>
      </c>
    </row>
    <row r="524309" spans="1:1" x14ac:dyDescent="0.2">
      <c r="A524309" t="s">
        <v>19</v>
      </c>
    </row>
    <row r="524310" spans="1:1" x14ac:dyDescent="0.2">
      <c r="A524310" t="s">
        <v>20</v>
      </c>
    </row>
    <row r="524311" spans="1:1" x14ac:dyDescent="0.2">
      <c r="A524311" t="s">
        <v>21</v>
      </c>
    </row>
    <row r="524312" spans="1:1" x14ac:dyDescent="0.2">
      <c r="A524312" t="s">
        <v>22</v>
      </c>
    </row>
    <row r="524313" spans="1:1" x14ac:dyDescent="0.2">
      <c r="A524313" t="s">
        <v>23</v>
      </c>
    </row>
    <row r="524314" spans="1:1" x14ac:dyDescent="0.2">
      <c r="A524314" t="s">
        <v>24</v>
      </c>
    </row>
    <row r="524315" spans="1:1" x14ac:dyDescent="0.2">
      <c r="A524315" t="s">
        <v>25</v>
      </c>
    </row>
    <row r="524316" spans="1:1" x14ac:dyDescent="0.2">
      <c r="A524316" t="s">
        <v>26</v>
      </c>
    </row>
    <row r="524317" spans="1:1" x14ac:dyDescent="0.2">
      <c r="A524317" t="s">
        <v>27</v>
      </c>
    </row>
    <row r="524318" spans="1:1" x14ac:dyDescent="0.2">
      <c r="A524318" t="s">
        <v>28</v>
      </c>
    </row>
    <row r="524319" spans="1:1" x14ac:dyDescent="0.2">
      <c r="A524319" t="s">
        <v>29</v>
      </c>
    </row>
    <row r="524320" spans="1:1" x14ac:dyDescent="0.2">
      <c r="A524320" t="s">
        <v>30</v>
      </c>
    </row>
    <row r="524321" spans="1:1" x14ac:dyDescent="0.2">
      <c r="A524321" t="s">
        <v>31</v>
      </c>
    </row>
    <row r="524322" spans="1:1" x14ac:dyDescent="0.2">
      <c r="A524322" t="s">
        <v>32</v>
      </c>
    </row>
    <row r="540674" spans="1:1" x14ac:dyDescent="0.2">
      <c r="A540674" t="s">
        <v>0</v>
      </c>
    </row>
    <row r="540675" spans="1:1" x14ac:dyDescent="0.2">
      <c r="A540675" t="s">
        <v>1</v>
      </c>
    </row>
    <row r="540676" spans="1:1" x14ac:dyDescent="0.2">
      <c r="A540676" t="s">
        <v>2</v>
      </c>
    </row>
    <row r="540677" spans="1:1" x14ac:dyDescent="0.2">
      <c r="A540677" t="s">
        <v>3</v>
      </c>
    </row>
    <row r="540678" spans="1:1" x14ac:dyDescent="0.2">
      <c r="A540678" t="s">
        <v>4</v>
      </c>
    </row>
    <row r="540679" spans="1:1" x14ac:dyDescent="0.2">
      <c r="A540679" t="s">
        <v>5</v>
      </c>
    </row>
    <row r="540680" spans="1:1" x14ac:dyDescent="0.2">
      <c r="A540680" t="s">
        <v>6</v>
      </c>
    </row>
    <row r="540681" spans="1:1" x14ac:dyDescent="0.2">
      <c r="A540681" t="s">
        <v>7</v>
      </c>
    </row>
    <row r="540682" spans="1:1" x14ac:dyDescent="0.2">
      <c r="A540682" t="s">
        <v>8</v>
      </c>
    </row>
    <row r="540683" spans="1:1" x14ac:dyDescent="0.2">
      <c r="A540683" t="s">
        <v>9</v>
      </c>
    </row>
    <row r="540684" spans="1:1" x14ac:dyDescent="0.2">
      <c r="A540684" t="s">
        <v>10</v>
      </c>
    </row>
    <row r="540685" spans="1:1" x14ac:dyDescent="0.2">
      <c r="A540685" t="s">
        <v>11</v>
      </c>
    </row>
    <row r="540686" spans="1:1" x14ac:dyDescent="0.2">
      <c r="A540686" t="s">
        <v>12</v>
      </c>
    </row>
    <row r="540687" spans="1:1" x14ac:dyDescent="0.2">
      <c r="A540687" t="s">
        <v>13</v>
      </c>
    </row>
    <row r="540688" spans="1:1" x14ac:dyDescent="0.2">
      <c r="A540688" t="s">
        <v>14</v>
      </c>
    </row>
    <row r="540689" spans="1:1" x14ac:dyDescent="0.2">
      <c r="A540689" t="s">
        <v>15</v>
      </c>
    </row>
    <row r="540690" spans="1:1" x14ac:dyDescent="0.2">
      <c r="A540690" t="s">
        <v>16</v>
      </c>
    </row>
    <row r="540691" spans="1:1" x14ac:dyDescent="0.2">
      <c r="A540691" t="s">
        <v>17</v>
      </c>
    </row>
    <row r="540692" spans="1:1" x14ac:dyDescent="0.2">
      <c r="A540692" t="s">
        <v>18</v>
      </c>
    </row>
    <row r="540693" spans="1:1" x14ac:dyDescent="0.2">
      <c r="A540693" t="s">
        <v>19</v>
      </c>
    </row>
    <row r="540694" spans="1:1" x14ac:dyDescent="0.2">
      <c r="A540694" t="s">
        <v>20</v>
      </c>
    </row>
    <row r="540695" spans="1:1" x14ac:dyDescent="0.2">
      <c r="A540695" t="s">
        <v>21</v>
      </c>
    </row>
    <row r="540696" spans="1:1" x14ac:dyDescent="0.2">
      <c r="A540696" t="s">
        <v>22</v>
      </c>
    </row>
    <row r="540697" spans="1:1" x14ac:dyDescent="0.2">
      <c r="A540697" t="s">
        <v>23</v>
      </c>
    </row>
    <row r="540698" spans="1:1" x14ac:dyDescent="0.2">
      <c r="A540698" t="s">
        <v>24</v>
      </c>
    </row>
    <row r="540699" spans="1:1" x14ac:dyDescent="0.2">
      <c r="A540699" t="s">
        <v>25</v>
      </c>
    </row>
    <row r="540700" spans="1:1" x14ac:dyDescent="0.2">
      <c r="A540700" t="s">
        <v>26</v>
      </c>
    </row>
    <row r="540701" spans="1:1" x14ac:dyDescent="0.2">
      <c r="A540701" t="s">
        <v>27</v>
      </c>
    </row>
    <row r="540702" spans="1:1" x14ac:dyDescent="0.2">
      <c r="A540702" t="s">
        <v>28</v>
      </c>
    </row>
    <row r="540703" spans="1:1" x14ac:dyDescent="0.2">
      <c r="A540703" t="s">
        <v>29</v>
      </c>
    </row>
    <row r="540704" spans="1:1" x14ac:dyDescent="0.2">
      <c r="A540704" t="s">
        <v>30</v>
      </c>
    </row>
    <row r="540705" spans="1:1" x14ac:dyDescent="0.2">
      <c r="A540705" t="s">
        <v>31</v>
      </c>
    </row>
    <row r="540706" spans="1:1" x14ac:dyDescent="0.2">
      <c r="A540706" t="s">
        <v>32</v>
      </c>
    </row>
    <row r="557058" spans="1:1" x14ac:dyDescent="0.2">
      <c r="A557058" t="s">
        <v>0</v>
      </c>
    </row>
    <row r="557059" spans="1:1" x14ac:dyDescent="0.2">
      <c r="A557059" t="s">
        <v>1</v>
      </c>
    </row>
    <row r="557060" spans="1:1" x14ac:dyDescent="0.2">
      <c r="A557060" t="s">
        <v>2</v>
      </c>
    </row>
    <row r="557061" spans="1:1" x14ac:dyDescent="0.2">
      <c r="A557061" t="s">
        <v>3</v>
      </c>
    </row>
    <row r="557062" spans="1:1" x14ac:dyDescent="0.2">
      <c r="A557062" t="s">
        <v>4</v>
      </c>
    </row>
    <row r="557063" spans="1:1" x14ac:dyDescent="0.2">
      <c r="A557063" t="s">
        <v>5</v>
      </c>
    </row>
    <row r="557064" spans="1:1" x14ac:dyDescent="0.2">
      <c r="A557064" t="s">
        <v>6</v>
      </c>
    </row>
    <row r="557065" spans="1:1" x14ac:dyDescent="0.2">
      <c r="A557065" t="s">
        <v>7</v>
      </c>
    </row>
    <row r="557066" spans="1:1" x14ac:dyDescent="0.2">
      <c r="A557066" t="s">
        <v>8</v>
      </c>
    </row>
    <row r="557067" spans="1:1" x14ac:dyDescent="0.2">
      <c r="A557067" t="s">
        <v>9</v>
      </c>
    </row>
    <row r="557068" spans="1:1" x14ac:dyDescent="0.2">
      <c r="A557068" t="s">
        <v>10</v>
      </c>
    </row>
    <row r="557069" spans="1:1" x14ac:dyDescent="0.2">
      <c r="A557069" t="s">
        <v>11</v>
      </c>
    </row>
    <row r="557070" spans="1:1" x14ac:dyDescent="0.2">
      <c r="A557070" t="s">
        <v>12</v>
      </c>
    </row>
    <row r="557071" spans="1:1" x14ac:dyDescent="0.2">
      <c r="A557071" t="s">
        <v>13</v>
      </c>
    </row>
    <row r="557072" spans="1:1" x14ac:dyDescent="0.2">
      <c r="A557072" t="s">
        <v>14</v>
      </c>
    </row>
    <row r="557073" spans="1:1" x14ac:dyDescent="0.2">
      <c r="A557073" t="s">
        <v>15</v>
      </c>
    </row>
    <row r="557074" spans="1:1" x14ac:dyDescent="0.2">
      <c r="A557074" t="s">
        <v>16</v>
      </c>
    </row>
    <row r="557075" spans="1:1" x14ac:dyDescent="0.2">
      <c r="A557075" t="s">
        <v>17</v>
      </c>
    </row>
    <row r="557076" spans="1:1" x14ac:dyDescent="0.2">
      <c r="A557076" t="s">
        <v>18</v>
      </c>
    </row>
    <row r="557077" spans="1:1" x14ac:dyDescent="0.2">
      <c r="A557077" t="s">
        <v>19</v>
      </c>
    </row>
    <row r="557078" spans="1:1" x14ac:dyDescent="0.2">
      <c r="A557078" t="s">
        <v>20</v>
      </c>
    </row>
    <row r="557079" spans="1:1" x14ac:dyDescent="0.2">
      <c r="A557079" t="s">
        <v>21</v>
      </c>
    </row>
    <row r="557080" spans="1:1" x14ac:dyDescent="0.2">
      <c r="A557080" t="s">
        <v>22</v>
      </c>
    </row>
    <row r="557081" spans="1:1" x14ac:dyDescent="0.2">
      <c r="A557081" t="s">
        <v>23</v>
      </c>
    </row>
    <row r="557082" spans="1:1" x14ac:dyDescent="0.2">
      <c r="A557082" t="s">
        <v>24</v>
      </c>
    </row>
    <row r="557083" spans="1:1" x14ac:dyDescent="0.2">
      <c r="A557083" t="s">
        <v>25</v>
      </c>
    </row>
    <row r="557084" spans="1:1" x14ac:dyDescent="0.2">
      <c r="A557084" t="s">
        <v>26</v>
      </c>
    </row>
    <row r="557085" spans="1:1" x14ac:dyDescent="0.2">
      <c r="A557085" t="s">
        <v>27</v>
      </c>
    </row>
    <row r="557086" spans="1:1" x14ac:dyDescent="0.2">
      <c r="A557086" t="s">
        <v>28</v>
      </c>
    </row>
    <row r="557087" spans="1:1" x14ac:dyDescent="0.2">
      <c r="A557087" t="s">
        <v>29</v>
      </c>
    </row>
    <row r="557088" spans="1:1" x14ac:dyDescent="0.2">
      <c r="A557088" t="s">
        <v>30</v>
      </c>
    </row>
    <row r="557089" spans="1:1" x14ac:dyDescent="0.2">
      <c r="A557089" t="s">
        <v>31</v>
      </c>
    </row>
    <row r="557090" spans="1:1" x14ac:dyDescent="0.2">
      <c r="A557090" t="s">
        <v>32</v>
      </c>
    </row>
    <row r="573442" spans="1:1" x14ac:dyDescent="0.2">
      <c r="A573442" t="s">
        <v>0</v>
      </c>
    </row>
    <row r="573443" spans="1:1" x14ac:dyDescent="0.2">
      <c r="A573443" t="s">
        <v>1</v>
      </c>
    </row>
    <row r="573444" spans="1:1" x14ac:dyDescent="0.2">
      <c r="A573444" t="s">
        <v>2</v>
      </c>
    </row>
    <row r="573445" spans="1:1" x14ac:dyDescent="0.2">
      <c r="A573445" t="s">
        <v>3</v>
      </c>
    </row>
    <row r="573446" spans="1:1" x14ac:dyDescent="0.2">
      <c r="A573446" t="s">
        <v>4</v>
      </c>
    </row>
    <row r="573447" spans="1:1" x14ac:dyDescent="0.2">
      <c r="A573447" t="s">
        <v>5</v>
      </c>
    </row>
    <row r="573448" spans="1:1" x14ac:dyDescent="0.2">
      <c r="A573448" t="s">
        <v>6</v>
      </c>
    </row>
    <row r="573449" spans="1:1" x14ac:dyDescent="0.2">
      <c r="A573449" t="s">
        <v>7</v>
      </c>
    </row>
    <row r="573450" spans="1:1" x14ac:dyDescent="0.2">
      <c r="A573450" t="s">
        <v>8</v>
      </c>
    </row>
    <row r="573451" spans="1:1" x14ac:dyDescent="0.2">
      <c r="A573451" t="s">
        <v>9</v>
      </c>
    </row>
    <row r="573452" spans="1:1" x14ac:dyDescent="0.2">
      <c r="A573452" t="s">
        <v>10</v>
      </c>
    </row>
    <row r="573453" spans="1:1" x14ac:dyDescent="0.2">
      <c r="A573453" t="s">
        <v>11</v>
      </c>
    </row>
    <row r="573454" spans="1:1" x14ac:dyDescent="0.2">
      <c r="A573454" t="s">
        <v>12</v>
      </c>
    </row>
    <row r="573455" spans="1:1" x14ac:dyDescent="0.2">
      <c r="A573455" t="s">
        <v>13</v>
      </c>
    </row>
    <row r="573456" spans="1:1" x14ac:dyDescent="0.2">
      <c r="A573456" t="s">
        <v>14</v>
      </c>
    </row>
    <row r="573457" spans="1:1" x14ac:dyDescent="0.2">
      <c r="A573457" t="s">
        <v>15</v>
      </c>
    </row>
    <row r="573458" spans="1:1" x14ac:dyDescent="0.2">
      <c r="A573458" t="s">
        <v>16</v>
      </c>
    </row>
    <row r="573459" spans="1:1" x14ac:dyDescent="0.2">
      <c r="A573459" t="s">
        <v>17</v>
      </c>
    </row>
    <row r="573460" spans="1:1" x14ac:dyDescent="0.2">
      <c r="A573460" t="s">
        <v>18</v>
      </c>
    </row>
    <row r="573461" spans="1:1" x14ac:dyDescent="0.2">
      <c r="A573461" t="s">
        <v>19</v>
      </c>
    </row>
    <row r="573462" spans="1:1" x14ac:dyDescent="0.2">
      <c r="A573462" t="s">
        <v>20</v>
      </c>
    </row>
    <row r="573463" spans="1:1" x14ac:dyDescent="0.2">
      <c r="A573463" t="s">
        <v>21</v>
      </c>
    </row>
    <row r="573464" spans="1:1" x14ac:dyDescent="0.2">
      <c r="A573464" t="s">
        <v>22</v>
      </c>
    </row>
    <row r="573465" spans="1:1" x14ac:dyDescent="0.2">
      <c r="A573465" t="s">
        <v>23</v>
      </c>
    </row>
    <row r="573466" spans="1:1" x14ac:dyDescent="0.2">
      <c r="A573466" t="s">
        <v>24</v>
      </c>
    </row>
    <row r="573467" spans="1:1" x14ac:dyDescent="0.2">
      <c r="A573467" t="s">
        <v>25</v>
      </c>
    </row>
    <row r="573468" spans="1:1" x14ac:dyDescent="0.2">
      <c r="A573468" t="s">
        <v>26</v>
      </c>
    </row>
    <row r="573469" spans="1:1" x14ac:dyDescent="0.2">
      <c r="A573469" t="s">
        <v>27</v>
      </c>
    </row>
    <row r="573470" spans="1:1" x14ac:dyDescent="0.2">
      <c r="A573470" t="s">
        <v>28</v>
      </c>
    </row>
    <row r="573471" spans="1:1" x14ac:dyDescent="0.2">
      <c r="A573471" t="s">
        <v>29</v>
      </c>
    </row>
    <row r="573472" spans="1:1" x14ac:dyDescent="0.2">
      <c r="A573472" t="s">
        <v>30</v>
      </c>
    </row>
    <row r="573473" spans="1:1" x14ac:dyDescent="0.2">
      <c r="A573473" t="s">
        <v>31</v>
      </c>
    </row>
    <row r="573474" spans="1:1" x14ac:dyDescent="0.2">
      <c r="A573474" t="s">
        <v>32</v>
      </c>
    </row>
    <row r="589826" spans="1:1" x14ac:dyDescent="0.2">
      <c r="A589826" t="s">
        <v>0</v>
      </c>
    </row>
    <row r="589827" spans="1:1" x14ac:dyDescent="0.2">
      <c r="A589827" t="s">
        <v>1</v>
      </c>
    </row>
    <row r="589828" spans="1:1" x14ac:dyDescent="0.2">
      <c r="A589828" t="s">
        <v>2</v>
      </c>
    </row>
    <row r="589829" spans="1:1" x14ac:dyDescent="0.2">
      <c r="A589829" t="s">
        <v>3</v>
      </c>
    </row>
    <row r="589830" spans="1:1" x14ac:dyDescent="0.2">
      <c r="A589830" t="s">
        <v>4</v>
      </c>
    </row>
    <row r="589831" spans="1:1" x14ac:dyDescent="0.2">
      <c r="A589831" t="s">
        <v>5</v>
      </c>
    </row>
    <row r="589832" spans="1:1" x14ac:dyDescent="0.2">
      <c r="A589832" t="s">
        <v>6</v>
      </c>
    </row>
    <row r="589833" spans="1:1" x14ac:dyDescent="0.2">
      <c r="A589833" t="s">
        <v>7</v>
      </c>
    </row>
    <row r="589834" spans="1:1" x14ac:dyDescent="0.2">
      <c r="A589834" t="s">
        <v>8</v>
      </c>
    </row>
    <row r="589835" spans="1:1" x14ac:dyDescent="0.2">
      <c r="A589835" t="s">
        <v>9</v>
      </c>
    </row>
    <row r="589836" spans="1:1" x14ac:dyDescent="0.2">
      <c r="A589836" t="s">
        <v>10</v>
      </c>
    </row>
    <row r="589837" spans="1:1" x14ac:dyDescent="0.2">
      <c r="A589837" t="s">
        <v>11</v>
      </c>
    </row>
    <row r="589838" spans="1:1" x14ac:dyDescent="0.2">
      <c r="A589838" t="s">
        <v>12</v>
      </c>
    </row>
    <row r="589839" spans="1:1" x14ac:dyDescent="0.2">
      <c r="A589839" t="s">
        <v>13</v>
      </c>
    </row>
    <row r="589840" spans="1:1" x14ac:dyDescent="0.2">
      <c r="A589840" t="s">
        <v>14</v>
      </c>
    </row>
    <row r="589841" spans="1:1" x14ac:dyDescent="0.2">
      <c r="A589841" t="s">
        <v>15</v>
      </c>
    </row>
    <row r="589842" spans="1:1" x14ac:dyDescent="0.2">
      <c r="A589842" t="s">
        <v>16</v>
      </c>
    </row>
    <row r="589843" spans="1:1" x14ac:dyDescent="0.2">
      <c r="A589843" t="s">
        <v>17</v>
      </c>
    </row>
    <row r="589844" spans="1:1" x14ac:dyDescent="0.2">
      <c r="A589844" t="s">
        <v>18</v>
      </c>
    </row>
    <row r="589845" spans="1:1" x14ac:dyDescent="0.2">
      <c r="A589845" t="s">
        <v>19</v>
      </c>
    </row>
    <row r="589846" spans="1:1" x14ac:dyDescent="0.2">
      <c r="A589846" t="s">
        <v>20</v>
      </c>
    </row>
    <row r="589847" spans="1:1" x14ac:dyDescent="0.2">
      <c r="A589847" t="s">
        <v>21</v>
      </c>
    </row>
    <row r="589848" spans="1:1" x14ac:dyDescent="0.2">
      <c r="A589848" t="s">
        <v>22</v>
      </c>
    </row>
    <row r="589849" spans="1:1" x14ac:dyDescent="0.2">
      <c r="A589849" t="s">
        <v>23</v>
      </c>
    </row>
    <row r="589850" spans="1:1" x14ac:dyDescent="0.2">
      <c r="A589850" t="s">
        <v>24</v>
      </c>
    </row>
    <row r="589851" spans="1:1" x14ac:dyDescent="0.2">
      <c r="A589851" t="s">
        <v>25</v>
      </c>
    </row>
    <row r="589852" spans="1:1" x14ac:dyDescent="0.2">
      <c r="A589852" t="s">
        <v>26</v>
      </c>
    </row>
    <row r="589853" spans="1:1" x14ac:dyDescent="0.2">
      <c r="A589853" t="s">
        <v>27</v>
      </c>
    </row>
    <row r="589854" spans="1:1" x14ac:dyDescent="0.2">
      <c r="A589854" t="s">
        <v>28</v>
      </c>
    </row>
    <row r="589855" spans="1:1" x14ac:dyDescent="0.2">
      <c r="A589855" t="s">
        <v>29</v>
      </c>
    </row>
    <row r="589856" spans="1:1" x14ac:dyDescent="0.2">
      <c r="A589856" t="s">
        <v>30</v>
      </c>
    </row>
    <row r="589857" spans="1:1" x14ac:dyDescent="0.2">
      <c r="A589857" t="s">
        <v>31</v>
      </c>
    </row>
    <row r="589858" spans="1:1" x14ac:dyDescent="0.2">
      <c r="A589858" t="s">
        <v>32</v>
      </c>
    </row>
    <row r="606210" spans="1:1" x14ac:dyDescent="0.2">
      <c r="A606210" t="s">
        <v>0</v>
      </c>
    </row>
    <row r="606211" spans="1:1" x14ac:dyDescent="0.2">
      <c r="A606211" t="s">
        <v>1</v>
      </c>
    </row>
    <row r="606212" spans="1:1" x14ac:dyDescent="0.2">
      <c r="A606212" t="s">
        <v>2</v>
      </c>
    </row>
    <row r="606213" spans="1:1" x14ac:dyDescent="0.2">
      <c r="A606213" t="s">
        <v>3</v>
      </c>
    </row>
    <row r="606214" spans="1:1" x14ac:dyDescent="0.2">
      <c r="A606214" t="s">
        <v>4</v>
      </c>
    </row>
    <row r="606215" spans="1:1" x14ac:dyDescent="0.2">
      <c r="A606215" t="s">
        <v>5</v>
      </c>
    </row>
    <row r="606216" spans="1:1" x14ac:dyDescent="0.2">
      <c r="A606216" t="s">
        <v>6</v>
      </c>
    </row>
    <row r="606217" spans="1:1" x14ac:dyDescent="0.2">
      <c r="A606217" t="s">
        <v>7</v>
      </c>
    </row>
    <row r="606218" spans="1:1" x14ac:dyDescent="0.2">
      <c r="A606218" t="s">
        <v>8</v>
      </c>
    </row>
    <row r="606219" spans="1:1" x14ac:dyDescent="0.2">
      <c r="A606219" t="s">
        <v>9</v>
      </c>
    </row>
    <row r="606220" spans="1:1" x14ac:dyDescent="0.2">
      <c r="A606220" t="s">
        <v>10</v>
      </c>
    </row>
    <row r="606221" spans="1:1" x14ac:dyDescent="0.2">
      <c r="A606221" t="s">
        <v>11</v>
      </c>
    </row>
    <row r="606222" spans="1:1" x14ac:dyDescent="0.2">
      <c r="A606222" t="s">
        <v>12</v>
      </c>
    </row>
    <row r="606223" spans="1:1" x14ac:dyDescent="0.2">
      <c r="A606223" t="s">
        <v>13</v>
      </c>
    </row>
    <row r="606224" spans="1:1" x14ac:dyDescent="0.2">
      <c r="A606224" t="s">
        <v>14</v>
      </c>
    </row>
    <row r="606225" spans="1:1" x14ac:dyDescent="0.2">
      <c r="A606225" t="s">
        <v>15</v>
      </c>
    </row>
    <row r="606226" spans="1:1" x14ac:dyDescent="0.2">
      <c r="A606226" t="s">
        <v>16</v>
      </c>
    </row>
    <row r="606227" spans="1:1" x14ac:dyDescent="0.2">
      <c r="A606227" t="s">
        <v>17</v>
      </c>
    </row>
    <row r="606228" spans="1:1" x14ac:dyDescent="0.2">
      <c r="A606228" t="s">
        <v>18</v>
      </c>
    </row>
    <row r="606229" spans="1:1" x14ac:dyDescent="0.2">
      <c r="A606229" t="s">
        <v>19</v>
      </c>
    </row>
    <row r="606230" spans="1:1" x14ac:dyDescent="0.2">
      <c r="A606230" t="s">
        <v>20</v>
      </c>
    </row>
    <row r="606231" spans="1:1" x14ac:dyDescent="0.2">
      <c r="A606231" t="s">
        <v>21</v>
      </c>
    </row>
    <row r="606232" spans="1:1" x14ac:dyDescent="0.2">
      <c r="A606232" t="s">
        <v>22</v>
      </c>
    </row>
    <row r="606233" spans="1:1" x14ac:dyDescent="0.2">
      <c r="A606233" t="s">
        <v>23</v>
      </c>
    </row>
    <row r="606234" spans="1:1" x14ac:dyDescent="0.2">
      <c r="A606234" t="s">
        <v>24</v>
      </c>
    </row>
    <row r="606235" spans="1:1" x14ac:dyDescent="0.2">
      <c r="A606235" t="s">
        <v>25</v>
      </c>
    </row>
    <row r="606236" spans="1:1" x14ac:dyDescent="0.2">
      <c r="A606236" t="s">
        <v>26</v>
      </c>
    </row>
    <row r="606237" spans="1:1" x14ac:dyDescent="0.2">
      <c r="A606237" t="s">
        <v>27</v>
      </c>
    </row>
    <row r="606238" spans="1:1" x14ac:dyDescent="0.2">
      <c r="A606238" t="s">
        <v>28</v>
      </c>
    </row>
    <row r="606239" spans="1:1" x14ac:dyDescent="0.2">
      <c r="A606239" t="s">
        <v>29</v>
      </c>
    </row>
    <row r="606240" spans="1:1" x14ac:dyDescent="0.2">
      <c r="A606240" t="s">
        <v>30</v>
      </c>
    </row>
    <row r="606241" spans="1:1" x14ac:dyDescent="0.2">
      <c r="A606241" t="s">
        <v>31</v>
      </c>
    </row>
    <row r="606242" spans="1:1" x14ac:dyDescent="0.2">
      <c r="A606242" t="s">
        <v>32</v>
      </c>
    </row>
    <row r="622594" spans="1:1" x14ac:dyDescent="0.2">
      <c r="A622594" t="s">
        <v>0</v>
      </c>
    </row>
    <row r="622595" spans="1:1" x14ac:dyDescent="0.2">
      <c r="A622595" t="s">
        <v>1</v>
      </c>
    </row>
    <row r="622596" spans="1:1" x14ac:dyDescent="0.2">
      <c r="A622596" t="s">
        <v>2</v>
      </c>
    </row>
    <row r="622597" spans="1:1" x14ac:dyDescent="0.2">
      <c r="A622597" t="s">
        <v>3</v>
      </c>
    </row>
    <row r="622598" spans="1:1" x14ac:dyDescent="0.2">
      <c r="A622598" t="s">
        <v>4</v>
      </c>
    </row>
    <row r="622599" spans="1:1" x14ac:dyDescent="0.2">
      <c r="A622599" t="s">
        <v>5</v>
      </c>
    </row>
    <row r="622600" spans="1:1" x14ac:dyDescent="0.2">
      <c r="A622600" t="s">
        <v>6</v>
      </c>
    </row>
    <row r="622601" spans="1:1" x14ac:dyDescent="0.2">
      <c r="A622601" t="s">
        <v>7</v>
      </c>
    </row>
    <row r="622602" spans="1:1" x14ac:dyDescent="0.2">
      <c r="A622602" t="s">
        <v>8</v>
      </c>
    </row>
    <row r="622603" spans="1:1" x14ac:dyDescent="0.2">
      <c r="A622603" t="s">
        <v>9</v>
      </c>
    </row>
    <row r="622604" spans="1:1" x14ac:dyDescent="0.2">
      <c r="A622604" t="s">
        <v>10</v>
      </c>
    </row>
    <row r="622605" spans="1:1" x14ac:dyDescent="0.2">
      <c r="A622605" t="s">
        <v>11</v>
      </c>
    </row>
    <row r="622606" spans="1:1" x14ac:dyDescent="0.2">
      <c r="A622606" t="s">
        <v>12</v>
      </c>
    </row>
    <row r="622607" spans="1:1" x14ac:dyDescent="0.2">
      <c r="A622607" t="s">
        <v>13</v>
      </c>
    </row>
    <row r="622608" spans="1:1" x14ac:dyDescent="0.2">
      <c r="A622608" t="s">
        <v>14</v>
      </c>
    </row>
    <row r="622609" spans="1:1" x14ac:dyDescent="0.2">
      <c r="A622609" t="s">
        <v>15</v>
      </c>
    </row>
    <row r="622610" spans="1:1" x14ac:dyDescent="0.2">
      <c r="A622610" t="s">
        <v>16</v>
      </c>
    </row>
    <row r="622611" spans="1:1" x14ac:dyDescent="0.2">
      <c r="A622611" t="s">
        <v>17</v>
      </c>
    </row>
    <row r="622612" spans="1:1" x14ac:dyDescent="0.2">
      <c r="A622612" t="s">
        <v>18</v>
      </c>
    </row>
    <row r="622613" spans="1:1" x14ac:dyDescent="0.2">
      <c r="A622613" t="s">
        <v>19</v>
      </c>
    </row>
    <row r="622614" spans="1:1" x14ac:dyDescent="0.2">
      <c r="A622614" t="s">
        <v>20</v>
      </c>
    </row>
    <row r="622615" spans="1:1" x14ac:dyDescent="0.2">
      <c r="A622615" t="s">
        <v>21</v>
      </c>
    </row>
    <row r="622616" spans="1:1" x14ac:dyDescent="0.2">
      <c r="A622616" t="s">
        <v>22</v>
      </c>
    </row>
    <row r="622617" spans="1:1" x14ac:dyDescent="0.2">
      <c r="A622617" t="s">
        <v>23</v>
      </c>
    </row>
    <row r="622618" spans="1:1" x14ac:dyDescent="0.2">
      <c r="A622618" t="s">
        <v>24</v>
      </c>
    </row>
    <row r="622619" spans="1:1" x14ac:dyDescent="0.2">
      <c r="A622619" t="s">
        <v>25</v>
      </c>
    </row>
    <row r="622620" spans="1:1" x14ac:dyDescent="0.2">
      <c r="A622620" t="s">
        <v>26</v>
      </c>
    </row>
    <row r="622621" spans="1:1" x14ac:dyDescent="0.2">
      <c r="A622621" t="s">
        <v>27</v>
      </c>
    </row>
    <row r="622622" spans="1:1" x14ac:dyDescent="0.2">
      <c r="A622622" t="s">
        <v>28</v>
      </c>
    </row>
    <row r="622623" spans="1:1" x14ac:dyDescent="0.2">
      <c r="A622623" t="s">
        <v>29</v>
      </c>
    </row>
    <row r="622624" spans="1:1" x14ac:dyDescent="0.2">
      <c r="A622624" t="s">
        <v>30</v>
      </c>
    </row>
    <row r="622625" spans="1:1" x14ac:dyDescent="0.2">
      <c r="A622625" t="s">
        <v>31</v>
      </c>
    </row>
    <row r="622626" spans="1:1" x14ac:dyDescent="0.2">
      <c r="A622626" t="s">
        <v>32</v>
      </c>
    </row>
    <row r="638978" spans="1:1" x14ac:dyDescent="0.2">
      <c r="A638978" t="s">
        <v>0</v>
      </c>
    </row>
    <row r="638979" spans="1:1" x14ac:dyDescent="0.2">
      <c r="A638979" t="s">
        <v>1</v>
      </c>
    </row>
    <row r="638980" spans="1:1" x14ac:dyDescent="0.2">
      <c r="A638980" t="s">
        <v>2</v>
      </c>
    </row>
    <row r="638981" spans="1:1" x14ac:dyDescent="0.2">
      <c r="A638981" t="s">
        <v>3</v>
      </c>
    </row>
    <row r="638982" spans="1:1" x14ac:dyDescent="0.2">
      <c r="A638982" t="s">
        <v>4</v>
      </c>
    </row>
    <row r="638983" spans="1:1" x14ac:dyDescent="0.2">
      <c r="A638983" t="s">
        <v>5</v>
      </c>
    </row>
    <row r="638984" spans="1:1" x14ac:dyDescent="0.2">
      <c r="A638984" t="s">
        <v>6</v>
      </c>
    </row>
    <row r="638985" spans="1:1" x14ac:dyDescent="0.2">
      <c r="A638985" t="s">
        <v>7</v>
      </c>
    </row>
    <row r="638986" spans="1:1" x14ac:dyDescent="0.2">
      <c r="A638986" t="s">
        <v>8</v>
      </c>
    </row>
    <row r="638987" spans="1:1" x14ac:dyDescent="0.2">
      <c r="A638987" t="s">
        <v>9</v>
      </c>
    </row>
    <row r="638988" spans="1:1" x14ac:dyDescent="0.2">
      <c r="A638988" t="s">
        <v>10</v>
      </c>
    </row>
    <row r="638989" spans="1:1" x14ac:dyDescent="0.2">
      <c r="A638989" t="s">
        <v>11</v>
      </c>
    </row>
    <row r="638990" spans="1:1" x14ac:dyDescent="0.2">
      <c r="A638990" t="s">
        <v>12</v>
      </c>
    </row>
    <row r="638991" spans="1:1" x14ac:dyDescent="0.2">
      <c r="A638991" t="s">
        <v>13</v>
      </c>
    </row>
    <row r="638992" spans="1:1" x14ac:dyDescent="0.2">
      <c r="A638992" t="s">
        <v>14</v>
      </c>
    </row>
    <row r="638993" spans="1:1" x14ac:dyDescent="0.2">
      <c r="A638993" t="s">
        <v>15</v>
      </c>
    </row>
    <row r="638994" spans="1:1" x14ac:dyDescent="0.2">
      <c r="A638994" t="s">
        <v>16</v>
      </c>
    </row>
    <row r="638995" spans="1:1" x14ac:dyDescent="0.2">
      <c r="A638995" t="s">
        <v>17</v>
      </c>
    </row>
    <row r="638996" spans="1:1" x14ac:dyDescent="0.2">
      <c r="A638996" t="s">
        <v>18</v>
      </c>
    </row>
    <row r="638997" spans="1:1" x14ac:dyDescent="0.2">
      <c r="A638997" t="s">
        <v>19</v>
      </c>
    </row>
    <row r="638998" spans="1:1" x14ac:dyDescent="0.2">
      <c r="A638998" t="s">
        <v>20</v>
      </c>
    </row>
    <row r="638999" spans="1:1" x14ac:dyDescent="0.2">
      <c r="A638999" t="s">
        <v>21</v>
      </c>
    </row>
    <row r="639000" spans="1:1" x14ac:dyDescent="0.2">
      <c r="A639000" t="s">
        <v>22</v>
      </c>
    </row>
    <row r="639001" spans="1:1" x14ac:dyDescent="0.2">
      <c r="A639001" t="s">
        <v>23</v>
      </c>
    </row>
    <row r="639002" spans="1:1" x14ac:dyDescent="0.2">
      <c r="A639002" t="s">
        <v>24</v>
      </c>
    </row>
    <row r="639003" spans="1:1" x14ac:dyDescent="0.2">
      <c r="A639003" t="s">
        <v>25</v>
      </c>
    </row>
    <row r="639004" spans="1:1" x14ac:dyDescent="0.2">
      <c r="A639004" t="s">
        <v>26</v>
      </c>
    </row>
    <row r="639005" spans="1:1" x14ac:dyDescent="0.2">
      <c r="A639005" t="s">
        <v>27</v>
      </c>
    </row>
    <row r="639006" spans="1:1" x14ac:dyDescent="0.2">
      <c r="A639006" t="s">
        <v>28</v>
      </c>
    </row>
    <row r="639007" spans="1:1" x14ac:dyDescent="0.2">
      <c r="A639007" t="s">
        <v>29</v>
      </c>
    </row>
    <row r="639008" spans="1:1" x14ac:dyDescent="0.2">
      <c r="A639008" t="s">
        <v>30</v>
      </c>
    </row>
    <row r="639009" spans="1:1" x14ac:dyDescent="0.2">
      <c r="A639009" t="s">
        <v>31</v>
      </c>
    </row>
    <row r="639010" spans="1:1" x14ac:dyDescent="0.2">
      <c r="A639010" t="s">
        <v>32</v>
      </c>
    </row>
    <row r="655362" spans="1:1" x14ac:dyDescent="0.2">
      <c r="A655362" t="s">
        <v>0</v>
      </c>
    </row>
    <row r="655363" spans="1:1" x14ac:dyDescent="0.2">
      <c r="A655363" t="s">
        <v>1</v>
      </c>
    </row>
    <row r="655364" spans="1:1" x14ac:dyDescent="0.2">
      <c r="A655364" t="s">
        <v>2</v>
      </c>
    </row>
    <row r="655365" spans="1:1" x14ac:dyDescent="0.2">
      <c r="A655365" t="s">
        <v>3</v>
      </c>
    </row>
    <row r="655366" spans="1:1" x14ac:dyDescent="0.2">
      <c r="A655366" t="s">
        <v>4</v>
      </c>
    </row>
    <row r="655367" spans="1:1" x14ac:dyDescent="0.2">
      <c r="A655367" t="s">
        <v>5</v>
      </c>
    </row>
    <row r="655368" spans="1:1" x14ac:dyDescent="0.2">
      <c r="A655368" t="s">
        <v>6</v>
      </c>
    </row>
    <row r="655369" spans="1:1" x14ac:dyDescent="0.2">
      <c r="A655369" t="s">
        <v>7</v>
      </c>
    </row>
    <row r="655370" spans="1:1" x14ac:dyDescent="0.2">
      <c r="A655370" t="s">
        <v>8</v>
      </c>
    </row>
    <row r="655371" spans="1:1" x14ac:dyDescent="0.2">
      <c r="A655371" t="s">
        <v>9</v>
      </c>
    </row>
    <row r="655372" spans="1:1" x14ac:dyDescent="0.2">
      <c r="A655372" t="s">
        <v>10</v>
      </c>
    </row>
    <row r="655373" spans="1:1" x14ac:dyDescent="0.2">
      <c r="A655373" t="s">
        <v>11</v>
      </c>
    </row>
    <row r="655374" spans="1:1" x14ac:dyDescent="0.2">
      <c r="A655374" t="s">
        <v>12</v>
      </c>
    </row>
    <row r="655375" spans="1:1" x14ac:dyDescent="0.2">
      <c r="A655375" t="s">
        <v>13</v>
      </c>
    </row>
    <row r="655376" spans="1:1" x14ac:dyDescent="0.2">
      <c r="A655376" t="s">
        <v>14</v>
      </c>
    </row>
    <row r="655377" spans="1:1" x14ac:dyDescent="0.2">
      <c r="A655377" t="s">
        <v>15</v>
      </c>
    </row>
    <row r="655378" spans="1:1" x14ac:dyDescent="0.2">
      <c r="A655378" t="s">
        <v>16</v>
      </c>
    </row>
    <row r="655379" spans="1:1" x14ac:dyDescent="0.2">
      <c r="A655379" t="s">
        <v>17</v>
      </c>
    </row>
    <row r="655380" spans="1:1" x14ac:dyDescent="0.2">
      <c r="A655380" t="s">
        <v>18</v>
      </c>
    </row>
    <row r="655381" spans="1:1" x14ac:dyDescent="0.2">
      <c r="A655381" t="s">
        <v>19</v>
      </c>
    </row>
    <row r="655382" spans="1:1" x14ac:dyDescent="0.2">
      <c r="A655382" t="s">
        <v>20</v>
      </c>
    </row>
    <row r="655383" spans="1:1" x14ac:dyDescent="0.2">
      <c r="A655383" t="s">
        <v>21</v>
      </c>
    </row>
    <row r="655384" spans="1:1" x14ac:dyDescent="0.2">
      <c r="A655384" t="s">
        <v>22</v>
      </c>
    </row>
    <row r="655385" spans="1:1" x14ac:dyDescent="0.2">
      <c r="A655385" t="s">
        <v>23</v>
      </c>
    </row>
    <row r="655386" spans="1:1" x14ac:dyDescent="0.2">
      <c r="A655386" t="s">
        <v>24</v>
      </c>
    </row>
    <row r="655387" spans="1:1" x14ac:dyDescent="0.2">
      <c r="A655387" t="s">
        <v>25</v>
      </c>
    </row>
    <row r="655388" spans="1:1" x14ac:dyDescent="0.2">
      <c r="A655388" t="s">
        <v>26</v>
      </c>
    </row>
    <row r="655389" spans="1:1" x14ac:dyDescent="0.2">
      <c r="A655389" t="s">
        <v>27</v>
      </c>
    </row>
    <row r="655390" spans="1:1" x14ac:dyDescent="0.2">
      <c r="A655390" t="s">
        <v>28</v>
      </c>
    </row>
    <row r="655391" spans="1:1" x14ac:dyDescent="0.2">
      <c r="A655391" t="s">
        <v>29</v>
      </c>
    </row>
    <row r="655392" spans="1:1" x14ac:dyDescent="0.2">
      <c r="A655392" t="s">
        <v>30</v>
      </c>
    </row>
    <row r="655393" spans="1:1" x14ac:dyDescent="0.2">
      <c r="A655393" t="s">
        <v>31</v>
      </c>
    </row>
    <row r="655394" spans="1:1" x14ac:dyDescent="0.2">
      <c r="A655394" t="s">
        <v>32</v>
      </c>
    </row>
    <row r="671746" spans="1:1" x14ac:dyDescent="0.2">
      <c r="A671746" t="s">
        <v>0</v>
      </c>
    </row>
    <row r="671747" spans="1:1" x14ac:dyDescent="0.2">
      <c r="A671747" t="s">
        <v>1</v>
      </c>
    </row>
    <row r="671748" spans="1:1" x14ac:dyDescent="0.2">
      <c r="A671748" t="s">
        <v>2</v>
      </c>
    </row>
    <row r="671749" spans="1:1" x14ac:dyDescent="0.2">
      <c r="A671749" t="s">
        <v>3</v>
      </c>
    </row>
    <row r="671750" spans="1:1" x14ac:dyDescent="0.2">
      <c r="A671750" t="s">
        <v>4</v>
      </c>
    </row>
    <row r="671751" spans="1:1" x14ac:dyDescent="0.2">
      <c r="A671751" t="s">
        <v>5</v>
      </c>
    </row>
    <row r="671752" spans="1:1" x14ac:dyDescent="0.2">
      <c r="A671752" t="s">
        <v>6</v>
      </c>
    </row>
    <row r="671753" spans="1:1" x14ac:dyDescent="0.2">
      <c r="A671753" t="s">
        <v>7</v>
      </c>
    </row>
    <row r="671754" spans="1:1" x14ac:dyDescent="0.2">
      <c r="A671754" t="s">
        <v>8</v>
      </c>
    </row>
    <row r="671755" spans="1:1" x14ac:dyDescent="0.2">
      <c r="A671755" t="s">
        <v>9</v>
      </c>
    </row>
    <row r="671756" spans="1:1" x14ac:dyDescent="0.2">
      <c r="A671756" t="s">
        <v>10</v>
      </c>
    </row>
    <row r="671757" spans="1:1" x14ac:dyDescent="0.2">
      <c r="A671757" t="s">
        <v>11</v>
      </c>
    </row>
    <row r="671758" spans="1:1" x14ac:dyDescent="0.2">
      <c r="A671758" t="s">
        <v>12</v>
      </c>
    </row>
    <row r="671759" spans="1:1" x14ac:dyDescent="0.2">
      <c r="A671759" t="s">
        <v>13</v>
      </c>
    </row>
    <row r="671760" spans="1:1" x14ac:dyDescent="0.2">
      <c r="A671760" t="s">
        <v>14</v>
      </c>
    </row>
    <row r="671761" spans="1:1" x14ac:dyDescent="0.2">
      <c r="A671761" t="s">
        <v>15</v>
      </c>
    </row>
    <row r="671762" spans="1:1" x14ac:dyDescent="0.2">
      <c r="A671762" t="s">
        <v>16</v>
      </c>
    </row>
    <row r="671763" spans="1:1" x14ac:dyDescent="0.2">
      <c r="A671763" t="s">
        <v>17</v>
      </c>
    </row>
    <row r="671764" spans="1:1" x14ac:dyDescent="0.2">
      <c r="A671764" t="s">
        <v>18</v>
      </c>
    </row>
    <row r="671765" spans="1:1" x14ac:dyDescent="0.2">
      <c r="A671765" t="s">
        <v>19</v>
      </c>
    </row>
    <row r="671766" spans="1:1" x14ac:dyDescent="0.2">
      <c r="A671766" t="s">
        <v>20</v>
      </c>
    </row>
    <row r="671767" spans="1:1" x14ac:dyDescent="0.2">
      <c r="A671767" t="s">
        <v>21</v>
      </c>
    </row>
    <row r="671768" spans="1:1" x14ac:dyDescent="0.2">
      <c r="A671768" t="s">
        <v>22</v>
      </c>
    </row>
    <row r="671769" spans="1:1" x14ac:dyDescent="0.2">
      <c r="A671769" t="s">
        <v>23</v>
      </c>
    </row>
    <row r="671770" spans="1:1" x14ac:dyDescent="0.2">
      <c r="A671770" t="s">
        <v>24</v>
      </c>
    </row>
    <row r="671771" spans="1:1" x14ac:dyDescent="0.2">
      <c r="A671771" t="s">
        <v>25</v>
      </c>
    </row>
    <row r="671772" spans="1:1" x14ac:dyDescent="0.2">
      <c r="A671772" t="s">
        <v>26</v>
      </c>
    </row>
    <row r="671773" spans="1:1" x14ac:dyDescent="0.2">
      <c r="A671773" t="s">
        <v>27</v>
      </c>
    </row>
    <row r="671774" spans="1:1" x14ac:dyDescent="0.2">
      <c r="A671774" t="s">
        <v>28</v>
      </c>
    </row>
    <row r="671775" spans="1:1" x14ac:dyDescent="0.2">
      <c r="A671775" t="s">
        <v>29</v>
      </c>
    </row>
    <row r="671776" spans="1:1" x14ac:dyDescent="0.2">
      <c r="A671776" t="s">
        <v>30</v>
      </c>
    </row>
    <row r="671777" spans="1:1" x14ac:dyDescent="0.2">
      <c r="A671777" t="s">
        <v>31</v>
      </c>
    </row>
    <row r="671778" spans="1:1" x14ac:dyDescent="0.2">
      <c r="A671778" t="s">
        <v>32</v>
      </c>
    </row>
    <row r="688130" spans="1:1" x14ac:dyDescent="0.2">
      <c r="A688130" t="s">
        <v>0</v>
      </c>
    </row>
    <row r="688131" spans="1:1" x14ac:dyDescent="0.2">
      <c r="A688131" t="s">
        <v>1</v>
      </c>
    </row>
    <row r="688132" spans="1:1" x14ac:dyDescent="0.2">
      <c r="A688132" t="s">
        <v>2</v>
      </c>
    </row>
    <row r="688133" spans="1:1" x14ac:dyDescent="0.2">
      <c r="A688133" t="s">
        <v>3</v>
      </c>
    </row>
    <row r="688134" spans="1:1" x14ac:dyDescent="0.2">
      <c r="A688134" t="s">
        <v>4</v>
      </c>
    </row>
    <row r="688135" spans="1:1" x14ac:dyDescent="0.2">
      <c r="A688135" t="s">
        <v>5</v>
      </c>
    </row>
    <row r="688136" spans="1:1" x14ac:dyDescent="0.2">
      <c r="A688136" t="s">
        <v>6</v>
      </c>
    </row>
    <row r="688137" spans="1:1" x14ac:dyDescent="0.2">
      <c r="A688137" t="s">
        <v>7</v>
      </c>
    </row>
    <row r="688138" spans="1:1" x14ac:dyDescent="0.2">
      <c r="A688138" t="s">
        <v>8</v>
      </c>
    </row>
    <row r="688139" spans="1:1" x14ac:dyDescent="0.2">
      <c r="A688139" t="s">
        <v>9</v>
      </c>
    </row>
    <row r="688140" spans="1:1" x14ac:dyDescent="0.2">
      <c r="A688140" t="s">
        <v>10</v>
      </c>
    </row>
    <row r="688141" spans="1:1" x14ac:dyDescent="0.2">
      <c r="A688141" t="s">
        <v>11</v>
      </c>
    </row>
    <row r="688142" spans="1:1" x14ac:dyDescent="0.2">
      <c r="A688142" t="s">
        <v>12</v>
      </c>
    </row>
    <row r="688143" spans="1:1" x14ac:dyDescent="0.2">
      <c r="A688143" t="s">
        <v>13</v>
      </c>
    </row>
    <row r="688144" spans="1:1" x14ac:dyDescent="0.2">
      <c r="A688144" t="s">
        <v>14</v>
      </c>
    </row>
    <row r="688145" spans="1:1" x14ac:dyDescent="0.2">
      <c r="A688145" t="s">
        <v>15</v>
      </c>
    </row>
    <row r="688146" spans="1:1" x14ac:dyDescent="0.2">
      <c r="A688146" t="s">
        <v>16</v>
      </c>
    </row>
    <row r="688147" spans="1:1" x14ac:dyDescent="0.2">
      <c r="A688147" t="s">
        <v>17</v>
      </c>
    </row>
    <row r="688148" spans="1:1" x14ac:dyDescent="0.2">
      <c r="A688148" t="s">
        <v>18</v>
      </c>
    </row>
    <row r="688149" spans="1:1" x14ac:dyDescent="0.2">
      <c r="A688149" t="s">
        <v>19</v>
      </c>
    </row>
    <row r="688150" spans="1:1" x14ac:dyDescent="0.2">
      <c r="A688150" t="s">
        <v>20</v>
      </c>
    </row>
    <row r="688151" spans="1:1" x14ac:dyDescent="0.2">
      <c r="A688151" t="s">
        <v>21</v>
      </c>
    </row>
    <row r="688152" spans="1:1" x14ac:dyDescent="0.2">
      <c r="A688152" t="s">
        <v>22</v>
      </c>
    </row>
    <row r="688153" spans="1:1" x14ac:dyDescent="0.2">
      <c r="A688153" t="s">
        <v>23</v>
      </c>
    </row>
    <row r="688154" spans="1:1" x14ac:dyDescent="0.2">
      <c r="A688154" t="s">
        <v>24</v>
      </c>
    </row>
    <row r="688155" spans="1:1" x14ac:dyDescent="0.2">
      <c r="A688155" t="s">
        <v>25</v>
      </c>
    </row>
    <row r="688156" spans="1:1" x14ac:dyDescent="0.2">
      <c r="A688156" t="s">
        <v>26</v>
      </c>
    </row>
    <row r="688157" spans="1:1" x14ac:dyDescent="0.2">
      <c r="A688157" t="s">
        <v>27</v>
      </c>
    </row>
    <row r="688158" spans="1:1" x14ac:dyDescent="0.2">
      <c r="A688158" t="s">
        <v>28</v>
      </c>
    </row>
    <row r="688159" spans="1:1" x14ac:dyDescent="0.2">
      <c r="A688159" t="s">
        <v>29</v>
      </c>
    </row>
    <row r="688160" spans="1:1" x14ac:dyDescent="0.2">
      <c r="A688160" t="s">
        <v>30</v>
      </c>
    </row>
    <row r="688161" spans="1:1" x14ac:dyDescent="0.2">
      <c r="A688161" t="s">
        <v>31</v>
      </c>
    </row>
    <row r="688162" spans="1:1" x14ac:dyDescent="0.2">
      <c r="A688162" t="s">
        <v>32</v>
      </c>
    </row>
    <row r="704514" spans="1:1" x14ac:dyDescent="0.2">
      <c r="A704514" t="s">
        <v>0</v>
      </c>
    </row>
    <row r="704515" spans="1:1" x14ac:dyDescent="0.2">
      <c r="A704515" t="s">
        <v>1</v>
      </c>
    </row>
    <row r="704516" spans="1:1" x14ac:dyDescent="0.2">
      <c r="A704516" t="s">
        <v>2</v>
      </c>
    </row>
    <row r="704517" spans="1:1" x14ac:dyDescent="0.2">
      <c r="A704517" t="s">
        <v>3</v>
      </c>
    </row>
    <row r="704518" spans="1:1" x14ac:dyDescent="0.2">
      <c r="A704518" t="s">
        <v>4</v>
      </c>
    </row>
    <row r="704519" spans="1:1" x14ac:dyDescent="0.2">
      <c r="A704519" t="s">
        <v>5</v>
      </c>
    </row>
    <row r="704520" spans="1:1" x14ac:dyDescent="0.2">
      <c r="A704520" t="s">
        <v>6</v>
      </c>
    </row>
    <row r="704521" spans="1:1" x14ac:dyDescent="0.2">
      <c r="A704521" t="s">
        <v>7</v>
      </c>
    </row>
    <row r="704522" spans="1:1" x14ac:dyDescent="0.2">
      <c r="A704522" t="s">
        <v>8</v>
      </c>
    </row>
    <row r="704523" spans="1:1" x14ac:dyDescent="0.2">
      <c r="A704523" t="s">
        <v>9</v>
      </c>
    </row>
    <row r="704524" spans="1:1" x14ac:dyDescent="0.2">
      <c r="A704524" t="s">
        <v>10</v>
      </c>
    </row>
    <row r="704525" spans="1:1" x14ac:dyDescent="0.2">
      <c r="A704525" t="s">
        <v>11</v>
      </c>
    </row>
    <row r="704526" spans="1:1" x14ac:dyDescent="0.2">
      <c r="A704526" t="s">
        <v>12</v>
      </c>
    </row>
    <row r="704527" spans="1:1" x14ac:dyDescent="0.2">
      <c r="A704527" t="s">
        <v>13</v>
      </c>
    </row>
    <row r="704528" spans="1:1" x14ac:dyDescent="0.2">
      <c r="A704528" t="s">
        <v>14</v>
      </c>
    </row>
    <row r="704529" spans="1:1" x14ac:dyDescent="0.2">
      <c r="A704529" t="s">
        <v>15</v>
      </c>
    </row>
    <row r="704530" spans="1:1" x14ac:dyDescent="0.2">
      <c r="A704530" t="s">
        <v>16</v>
      </c>
    </row>
    <row r="704531" spans="1:1" x14ac:dyDescent="0.2">
      <c r="A704531" t="s">
        <v>17</v>
      </c>
    </row>
    <row r="704532" spans="1:1" x14ac:dyDescent="0.2">
      <c r="A704532" t="s">
        <v>18</v>
      </c>
    </row>
    <row r="704533" spans="1:1" x14ac:dyDescent="0.2">
      <c r="A704533" t="s">
        <v>19</v>
      </c>
    </row>
    <row r="704534" spans="1:1" x14ac:dyDescent="0.2">
      <c r="A704534" t="s">
        <v>20</v>
      </c>
    </row>
    <row r="704535" spans="1:1" x14ac:dyDescent="0.2">
      <c r="A704535" t="s">
        <v>21</v>
      </c>
    </row>
    <row r="704536" spans="1:1" x14ac:dyDescent="0.2">
      <c r="A704536" t="s">
        <v>22</v>
      </c>
    </row>
    <row r="704537" spans="1:1" x14ac:dyDescent="0.2">
      <c r="A704537" t="s">
        <v>23</v>
      </c>
    </row>
    <row r="704538" spans="1:1" x14ac:dyDescent="0.2">
      <c r="A704538" t="s">
        <v>24</v>
      </c>
    </row>
    <row r="704539" spans="1:1" x14ac:dyDescent="0.2">
      <c r="A704539" t="s">
        <v>25</v>
      </c>
    </row>
    <row r="704540" spans="1:1" x14ac:dyDescent="0.2">
      <c r="A704540" t="s">
        <v>26</v>
      </c>
    </row>
    <row r="704541" spans="1:1" x14ac:dyDescent="0.2">
      <c r="A704541" t="s">
        <v>27</v>
      </c>
    </row>
    <row r="704542" spans="1:1" x14ac:dyDescent="0.2">
      <c r="A704542" t="s">
        <v>28</v>
      </c>
    </row>
    <row r="704543" spans="1:1" x14ac:dyDescent="0.2">
      <c r="A704543" t="s">
        <v>29</v>
      </c>
    </row>
    <row r="704544" spans="1:1" x14ac:dyDescent="0.2">
      <c r="A704544" t="s">
        <v>30</v>
      </c>
    </row>
    <row r="704545" spans="1:1" x14ac:dyDescent="0.2">
      <c r="A704545" t="s">
        <v>31</v>
      </c>
    </row>
    <row r="704546" spans="1:1" x14ac:dyDescent="0.2">
      <c r="A704546" t="s">
        <v>32</v>
      </c>
    </row>
    <row r="720898" spans="1:1" x14ac:dyDescent="0.2">
      <c r="A720898" t="s">
        <v>0</v>
      </c>
    </row>
    <row r="720899" spans="1:1" x14ac:dyDescent="0.2">
      <c r="A720899" t="s">
        <v>1</v>
      </c>
    </row>
    <row r="720900" spans="1:1" x14ac:dyDescent="0.2">
      <c r="A720900" t="s">
        <v>2</v>
      </c>
    </row>
    <row r="720901" spans="1:1" x14ac:dyDescent="0.2">
      <c r="A720901" t="s">
        <v>3</v>
      </c>
    </row>
    <row r="720902" spans="1:1" x14ac:dyDescent="0.2">
      <c r="A720902" t="s">
        <v>4</v>
      </c>
    </row>
    <row r="720903" spans="1:1" x14ac:dyDescent="0.2">
      <c r="A720903" t="s">
        <v>5</v>
      </c>
    </row>
    <row r="720904" spans="1:1" x14ac:dyDescent="0.2">
      <c r="A720904" t="s">
        <v>6</v>
      </c>
    </row>
    <row r="720905" spans="1:1" x14ac:dyDescent="0.2">
      <c r="A720905" t="s">
        <v>7</v>
      </c>
    </row>
    <row r="720906" spans="1:1" x14ac:dyDescent="0.2">
      <c r="A720906" t="s">
        <v>8</v>
      </c>
    </row>
    <row r="720907" spans="1:1" x14ac:dyDescent="0.2">
      <c r="A720907" t="s">
        <v>9</v>
      </c>
    </row>
    <row r="720908" spans="1:1" x14ac:dyDescent="0.2">
      <c r="A720908" t="s">
        <v>10</v>
      </c>
    </row>
    <row r="720909" spans="1:1" x14ac:dyDescent="0.2">
      <c r="A720909" t="s">
        <v>11</v>
      </c>
    </row>
    <row r="720910" spans="1:1" x14ac:dyDescent="0.2">
      <c r="A720910" t="s">
        <v>12</v>
      </c>
    </row>
    <row r="720911" spans="1:1" x14ac:dyDescent="0.2">
      <c r="A720911" t="s">
        <v>13</v>
      </c>
    </row>
    <row r="720912" spans="1:1" x14ac:dyDescent="0.2">
      <c r="A720912" t="s">
        <v>14</v>
      </c>
    </row>
    <row r="720913" spans="1:1" x14ac:dyDescent="0.2">
      <c r="A720913" t="s">
        <v>15</v>
      </c>
    </row>
    <row r="720914" spans="1:1" x14ac:dyDescent="0.2">
      <c r="A720914" t="s">
        <v>16</v>
      </c>
    </row>
    <row r="720915" spans="1:1" x14ac:dyDescent="0.2">
      <c r="A720915" t="s">
        <v>17</v>
      </c>
    </row>
    <row r="720916" spans="1:1" x14ac:dyDescent="0.2">
      <c r="A720916" t="s">
        <v>18</v>
      </c>
    </row>
    <row r="720917" spans="1:1" x14ac:dyDescent="0.2">
      <c r="A720917" t="s">
        <v>19</v>
      </c>
    </row>
    <row r="720918" spans="1:1" x14ac:dyDescent="0.2">
      <c r="A720918" t="s">
        <v>20</v>
      </c>
    </row>
    <row r="720919" spans="1:1" x14ac:dyDescent="0.2">
      <c r="A720919" t="s">
        <v>21</v>
      </c>
    </row>
    <row r="720920" spans="1:1" x14ac:dyDescent="0.2">
      <c r="A720920" t="s">
        <v>22</v>
      </c>
    </row>
    <row r="720921" spans="1:1" x14ac:dyDescent="0.2">
      <c r="A720921" t="s">
        <v>23</v>
      </c>
    </row>
    <row r="720922" spans="1:1" x14ac:dyDescent="0.2">
      <c r="A720922" t="s">
        <v>24</v>
      </c>
    </row>
    <row r="720923" spans="1:1" x14ac:dyDescent="0.2">
      <c r="A720923" t="s">
        <v>25</v>
      </c>
    </row>
    <row r="720924" spans="1:1" x14ac:dyDescent="0.2">
      <c r="A720924" t="s">
        <v>26</v>
      </c>
    </row>
    <row r="720925" spans="1:1" x14ac:dyDescent="0.2">
      <c r="A720925" t="s">
        <v>27</v>
      </c>
    </row>
    <row r="720926" spans="1:1" x14ac:dyDescent="0.2">
      <c r="A720926" t="s">
        <v>28</v>
      </c>
    </row>
    <row r="720927" spans="1:1" x14ac:dyDescent="0.2">
      <c r="A720927" t="s">
        <v>29</v>
      </c>
    </row>
    <row r="720928" spans="1:1" x14ac:dyDescent="0.2">
      <c r="A720928" t="s">
        <v>30</v>
      </c>
    </row>
    <row r="720929" spans="1:1" x14ac:dyDescent="0.2">
      <c r="A720929" t="s">
        <v>31</v>
      </c>
    </row>
    <row r="720930" spans="1:1" x14ac:dyDescent="0.2">
      <c r="A720930" t="s">
        <v>32</v>
      </c>
    </row>
    <row r="737282" spans="1:1" x14ac:dyDescent="0.2">
      <c r="A737282" t="s">
        <v>0</v>
      </c>
    </row>
    <row r="737283" spans="1:1" x14ac:dyDescent="0.2">
      <c r="A737283" t="s">
        <v>1</v>
      </c>
    </row>
    <row r="737284" spans="1:1" x14ac:dyDescent="0.2">
      <c r="A737284" t="s">
        <v>2</v>
      </c>
    </row>
    <row r="737285" spans="1:1" x14ac:dyDescent="0.2">
      <c r="A737285" t="s">
        <v>3</v>
      </c>
    </row>
    <row r="737286" spans="1:1" x14ac:dyDescent="0.2">
      <c r="A737286" t="s">
        <v>4</v>
      </c>
    </row>
    <row r="737287" spans="1:1" x14ac:dyDescent="0.2">
      <c r="A737287" t="s">
        <v>5</v>
      </c>
    </row>
    <row r="737288" spans="1:1" x14ac:dyDescent="0.2">
      <c r="A737288" t="s">
        <v>6</v>
      </c>
    </row>
    <row r="737289" spans="1:1" x14ac:dyDescent="0.2">
      <c r="A737289" t="s">
        <v>7</v>
      </c>
    </row>
    <row r="737290" spans="1:1" x14ac:dyDescent="0.2">
      <c r="A737290" t="s">
        <v>8</v>
      </c>
    </row>
    <row r="737291" spans="1:1" x14ac:dyDescent="0.2">
      <c r="A737291" t="s">
        <v>9</v>
      </c>
    </row>
    <row r="737292" spans="1:1" x14ac:dyDescent="0.2">
      <c r="A737292" t="s">
        <v>10</v>
      </c>
    </row>
    <row r="737293" spans="1:1" x14ac:dyDescent="0.2">
      <c r="A737293" t="s">
        <v>11</v>
      </c>
    </row>
    <row r="737294" spans="1:1" x14ac:dyDescent="0.2">
      <c r="A737294" t="s">
        <v>12</v>
      </c>
    </row>
    <row r="737295" spans="1:1" x14ac:dyDescent="0.2">
      <c r="A737295" t="s">
        <v>13</v>
      </c>
    </row>
    <row r="737296" spans="1:1" x14ac:dyDescent="0.2">
      <c r="A737296" t="s">
        <v>14</v>
      </c>
    </row>
    <row r="737297" spans="1:1" x14ac:dyDescent="0.2">
      <c r="A737297" t="s">
        <v>15</v>
      </c>
    </row>
    <row r="737298" spans="1:1" x14ac:dyDescent="0.2">
      <c r="A737298" t="s">
        <v>16</v>
      </c>
    </row>
    <row r="737299" spans="1:1" x14ac:dyDescent="0.2">
      <c r="A737299" t="s">
        <v>17</v>
      </c>
    </row>
    <row r="737300" spans="1:1" x14ac:dyDescent="0.2">
      <c r="A737300" t="s">
        <v>18</v>
      </c>
    </row>
    <row r="737301" spans="1:1" x14ac:dyDescent="0.2">
      <c r="A737301" t="s">
        <v>19</v>
      </c>
    </row>
    <row r="737302" spans="1:1" x14ac:dyDescent="0.2">
      <c r="A737302" t="s">
        <v>20</v>
      </c>
    </row>
    <row r="737303" spans="1:1" x14ac:dyDescent="0.2">
      <c r="A737303" t="s">
        <v>21</v>
      </c>
    </row>
    <row r="737304" spans="1:1" x14ac:dyDescent="0.2">
      <c r="A737304" t="s">
        <v>22</v>
      </c>
    </row>
    <row r="737305" spans="1:1" x14ac:dyDescent="0.2">
      <c r="A737305" t="s">
        <v>23</v>
      </c>
    </row>
    <row r="737306" spans="1:1" x14ac:dyDescent="0.2">
      <c r="A737306" t="s">
        <v>24</v>
      </c>
    </row>
    <row r="737307" spans="1:1" x14ac:dyDescent="0.2">
      <c r="A737307" t="s">
        <v>25</v>
      </c>
    </row>
    <row r="737308" spans="1:1" x14ac:dyDescent="0.2">
      <c r="A737308" t="s">
        <v>26</v>
      </c>
    </row>
    <row r="737309" spans="1:1" x14ac:dyDescent="0.2">
      <c r="A737309" t="s">
        <v>27</v>
      </c>
    </row>
    <row r="737310" spans="1:1" x14ac:dyDescent="0.2">
      <c r="A737310" t="s">
        <v>28</v>
      </c>
    </row>
    <row r="737311" spans="1:1" x14ac:dyDescent="0.2">
      <c r="A737311" t="s">
        <v>29</v>
      </c>
    </row>
    <row r="737312" spans="1:1" x14ac:dyDescent="0.2">
      <c r="A737312" t="s">
        <v>30</v>
      </c>
    </row>
    <row r="737313" spans="1:1" x14ac:dyDescent="0.2">
      <c r="A737313" t="s">
        <v>31</v>
      </c>
    </row>
    <row r="737314" spans="1:1" x14ac:dyDescent="0.2">
      <c r="A737314" t="s">
        <v>32</v>
      </c>
    </row>
    <row r="753666" spans="1:1" x14ac:dyDescent="0.2">
      <c r="A753666" t="s">
        <v>0</v>
      </c>
    </row>
    <row r="753667" spans="1:1" x14ac:dyDescent="0.2">
      <c r="A753667" t="s">
        <v>1</v>
      </c>
    </row>
    <row r="753668" spans="1:1" x14ac:dyDescent="0.2">
      <c r="A753668" t="s">
        <v>2</v>
      </c>
    </row>
    <row r="753669" spans="1:1" x14ac:dyDescent="0.2">
      <c r="A753669" t="s">
        <v>3</v>
      </c>
    </row>
    <row r="753670" spans="1:1" x14ac:dyDescent="0.2">
      <c r="A753670" t="s">
        <v>4</v>
      </c>
    </row>
    <row r="753671" spans="1:1" x14ac:dyDescent="0.2">
      <c r="A753671" t="s">
        <v>5</v>
      </c>
    </row>
    <row r="753672" spans="1:1" x14ac:dyDescent="0.2">
      <c r="A753672" t="s">
        <v>6</v>
      </c>
    </row>
    <row r="753673" spans="1:1" x14ac:dyDescent="0.2">
      <c r="A753673" t="s">
        <v>7</v>
      </c>
    </row>
    <row r="753674" spans="1:1" x14ac:dyDescent="0.2">
      <c r="A753674" t="s">
        <v>8</v>
      </c>
    </row>
    <row r="753675" spans="1:1" x14ac:dyDescent="0.2">
      <c r="A753675" t="s">
        <v>9</v>
      </c>
    </row>
    <row r="753676" spans="1:1" x14ac:dyDescent="0.2">
      <c r="A753676" t="s">
        <v>10</v>
      </c>
    </row>
    <row r="753677" spans="1:1" x14ac:dyDescent="0.2">
      <c r="A753677" t="s">
        <v>11</v>
      </c>
    </row>
    <row r="753678" spans="1:1" x14ac:dyDescent="0.2">
      <c r="A753678" t="s">
        <v>12</v>
      </c>
    </row>
    <row r="753679" spans="1:1" x14ac:dyDescent="0.2">
      <c r="A753679" t="s">
        <v>13</v>
      </c>
    </row>
    <row r="753680" spans="1:1" x14ac:dyDescent="0.2">
      <c r="A753680" t="s">
        <v>14</v>
      </c>
    </row>
    <row r="753681" spans="1:1" x14ac:dyDescent="0.2">
      <c r="A753681" t="s">
        <v>15</v>
      </c>
    </row>
    <row r="753682" spans="1:1" x14ac:dyDescent="0.2">
      <c r="A753682" t="s">
        <v>16</v>
      </c>
    </row>
    <row r="753683" spans="1:1" x14ac:dyDescent="0.2">
      <c r="A753683" t="s">
        <v>17</v>
      </c>
    </row>
    <row r="753684" spans="1:1" x14ac:dyDescent="0.2">
      <c r="A753684" t="s">
        <v>18</v>
      </c>
    </row>
    <row r="753685" spans="1:1" x14ac:dyDescent="0.2">
      <c r="A753685" t="s">
        <v>19</v>
      </c>
    </row>
    <row r="753686" spans="1:1" x14ac:dyDescent="0.2">
      <c r="A753686" t="s">
        <v>20</v>
      </c>
    </row>
    <row r="753687" spans="1:1" x14ac:dyDescent="0.2">
      <c r="A753687" t="s">
        <v>21</v>
      </c>
    </row>
    <row r="753688" spans="1:1" x14ac:dyDescent="0.2">
      <c r="A753688" t="s">
        <v>22</v>
      </c>
    </row>
    <row r="753689" spans="1:1" x14ac:dyDescent="0.2">
      <c r="A753689" t="s">
        <v>23</v>
      </c>
    </row>
    <row r="753690" spans="1:1" x14ac:dyDescent="0.2">
      <c r="A753690" t="s">
        <v>24</v>
      </c>
    </row>
    <row r="753691" spans="1:1" x14ac:dyDescent="0.2">
      <c r="A753691" t="s">
        <v>25</v>
      </c>
    </row>
    <row r="753692" spans="1:1" x14ac:dyDescent="0.2">
      <c r="A753692" t="s">
        <v>26</v>
      </c>
    </row>
    <row r="753693" spans="1:1" x14ac:dyDescent="0.2">
      <c r="A753693" t="s">
        <v>27</v>
      </c>
    </row>
    <row r="753694" spans="1:1" x14ac:dyDescent="0.2">
      <c r="A753694" t="s">
        <v>28</v>
      </c>
    </row>
    <row r="753695" spans="1:1" x14ac:dyDescent="0.2">
      <c r="A753695" t="s">
        <v>29</v>
      </c>
    </row>
    <row r="753696" spans="1:1" x14ac:dyDescent="0.2">
      <c r="A753696" t="s">
        <v>30</v>
      </c>
    </row>
    <row r="753697" spans="1:1" x14ac:dyDescent="0.2">
      <c r="A753697" t="s">
        <v>31</v>
      </c>
    </row>
    <row r="753698" spans="1:1" x14ac:dyDescent="0.2">
      <c r="A753698" t="s">
        <v>32</v>
      </c>
    </row>
    <row r="770050" spans="1:1" x14ac:dyDescent="0.2">
      <c r="A770050" t="s">
        <v>0</v>
      </c>
    </row>
    <row r="770051" spans="1:1" x14ac:dyDescent="0.2">
      <c r="A770051" t="s">
        <v>1</v>
      </c>
    </row>
    <row r="770052" spans="1:1" x14ac:dyDescent="0.2">
      <c r="A770052" t="s">
        <v>2</v>
      </c>
    </row>
    <row r="770053" spans="1:1" x14ac:dyDescent="0.2">
      <c r="A770053" t="s">
        <v>3</v>
      </c>
    </row>
    <row r="770054" spans="1:1" x14ac:dyDescent="0.2">
      <c r="A770054" t="s">
        <v>4</v>
      </c>
    </row>
    <row r="770055" spans="1:1" x14ac:dyDescent="0.2">
      <c r="A770055" t="s">
        <v>5</v>
      </c>
    </row>
    <row r="770056" spans="1:1" x14ac:dyDescent="0.2">
      <c r="A770056" t="s">
        <v>6</v>
      </c>
    </row>
    <row r="770057" spans="1:1" x14ac:dyDescent="0.2">
      <c r="A770057" t="s">
        <v>7</v>
      </c>
    </row>
    <row r="770058" spans="1:1" x14ac:dyDescent="0.2">
      <c r="A770058" t="s">
        <v>8</v>
      </c>
    </row>
    <row r="770059" spans="1:1" x14ac:dyDescent="0.2">
      <c r="A770059" t="s">
        <v>9</v>
      </c>
    </row>
    <row r="770060" spans="1:1" x14ac:dyDescent="0.2">
      <c r="A770060" t="s">
        <v>10</v>
      </c>
    </row>
    <row r="770061" spans="1:1" x14ac:dyDescent="0.2">
      <c r="A770061" t="s">
        <v>11</v>
      </c>
    </row>
    <row r="770062" spans="1:1" x14ac:dyDescent="0.2">
      <c r="A770062" t="s">
        <v>12</v>
      </c>
    </row>
    <row r="770063" spans="1:1" x14ac:dyDescent="0.2">
      <c r="A770063" t="s">
        <v>13</v>
      </c>
    </row>
    <row r="770064" spans="1:1" x14ac:dyDescent="0.2">
      <c r="A770064" t="s">
        <v>14</v>
      </c>
    </row>
    <row r="770065" spans="1:1" x14ac:dyDescent="0.2">
      <c r="A770065" t="s">
        <v>15</v>
      </c>
    </row>
    <row r="770066" spans="1:1" x14ac:dyDescent="0.2">
      <c r="A770066" t="s">
        <v>16</v>
      </c>
    </row>
    <row r="770067" spans="1:1" x14ac:dyDescent="0.2">
      <c r="A770067" t="s">
        <v>17</v>
      </c>
    </row>
    <row r="770068" spans="1:1" x14ac:dyDescent="0.2">
      <c r="A770068" t="s">
        <v>18</v>
      </c>
    </row>
    <row r="770069" spans="1:1" x14ac:dyDescent="0.2">
      <c r="A770069" t="s">
        <v>19</v>
      </c>
    </row>
    <row r="770070" spans="1:1" x14ac:dyDescent="0.2">
      <c r="A770070" t="s">
        <v>20</v>
      </c>
    </row>
    <row r="770071" spans="1:1" x14ac:dyDescent="0.2">
      <c r="A770071" t="s">
        <v>21</v>
      </c>
    </row>
    <row r="770072" spans="1:1" x14ac:dyDescent="0.2">
      <c r="A770072" t="s">
        <v>22</v>
      </c>
    </row>
    <row r="770073" spans="1:1" x14ac:dyDescent="0.2">
      <c r="A770073" t="s">
        <v>23</v>
      </c>
    </row>
    <row r="770074" spans="1:1" x14ac:dyDescent="0.2">
      <c r="A770074" t="s">
        <v>24</v>
      </c>
    </row>
    <row r="770075" spans="1:1" x14ac:dyDescent="0.2">
      <c r="A770075" t="s">
        <v>25</v>
      </c>
    </row>
    <row r="770076" spans="1:1" x14ac:dyDescent="0.2">
      <c r="A770076" t="s">
        <v>26</v>
      </c>
    </row>
    <row r="770077" spans="1:1" x14ac:dyDescent="0.2">
      <c r="A770077" t="s">
        <v>27</v>
      </c>
    </row>
    <row r="770078" spans="1:1" x14ac:dyDescent="0.2">
      <c r="A770078" t="s">
        <v>28</v>
      </c>
    </row>
    <row r="770079" spans="1:1" x14ac:dyDescent="0.2">
      <c r="A770079" t="s">
        <v>29</v>
      </c>
    </row>
    <row r="770080" spans="1:1" x14ac:dyDescent="0.2">
      <c r="A770080" t="s">
        <v>30</v>
      </c>
    </row>
    <row r="770081" spans="1:1" x14ac:dyDescent="0.2">
      <c r="A770081" t="s">
        <v>31</v>
      </c>
    </row>
    <row r="770082" spans="1:1" x14ac:dyDescent="0.2">
      <c r="A770082" t="s">
        <v>32</v>
      </c>
    </row>
    <row r="786434" spans="1:1" x14ac:dyDescent="0.2">
      <c r="A786434" t="s">
        <v>0</v>
      </c>
    </row>
    <row r="786435" spans="1:1" x14ac:dyDescent="0.2">
      <c r="A786435" t="s">
        <v>1</v>
      </c>
    </row>
    <row r="786436" spans="1:1" x14ac:dyDescent="0.2">
      <c r="A786436" t="s">
        <v>2</v>
      </c>
    </row>
    <row r="786437" spans="1:1" x14ac:dyDescent="0.2">
      <c r="A786437" t="s">
        <v>3</v>
      </c>
    </row>
    <row r="786438" spans="1:1" x14ac:dyDescent="0.2">
      <c r="A786438" t="s">
        <v>4</v>
      </c>
    </row>
    <row r="786439" spans="1:1" x14ac:dyDescent="0.2">
      <c r="A786439" t="s">
        <v>5</v>
      </c>
    </row>
    <row r="786440" spans="1:1" x14ac:dyDescent="0.2">
      <c r="A786440" t="s">
        <v>6</v>
      </c>
    </row>
    <row r="786441" spans="1:1" x14ac:dyDescent="0.2">
      <c r="A786441" t="s">
        <v>7</v>
      </c>
    </row>
    <row r="786442" spans="1:1" x14ac:dyDescent="0.2">
      <c r="A786442" t="s">
        <v>8</v>
      </c>
    </row>
    <row r="786443" spans="1:1" x14ac:dyDescent="0.2">
      <c r="A786443" t="s">
        <v>9</v>
      </c>
    </row>
    <row r="786444" spans="1:1" x14ac:dyDescent="0.2">
      <c r="A786444" t="s">
        <v>10</v>
      </c>
    </row>
    <row r="786445" spans="1:1" x14ac:dyDescent="0.2">
      <c r="A786445" t="s">
        <v>11</v>
      </c>
    </row>
    <row r="786446" spans="1:1" x14ac:dyDescent="0.2">
      <c r="A786446" t="s">
        <v>12</v>
      </c>
    </row>
    <row r="786447" spans="1:1" x14ac:dyDescent="0.2">
      <c r="A786447" t="s">
        <v>13</v>
      </c>
    </row>
    <row r="786448" spans="1:1" x14ac:dyDescent="0.2">
      <c r="A786448" t="s">
        <v>14</v>
      </c>
    </row>
    <row r="786449" spans="1:1" x14ac:dyDescent="0.2">
      <c r="A786449" t="s">
        <v>15</v>
      </c>
    </row>
    <row r="786450" spans="1:1" x14ac:dyDescent="0.2">
      <c r="A786450" t="s">
        <v>16</v>
      </c>
    </row>
    <row r="786451" spans="1:1" x14ac:dyDescent="0.2">
      <c r="A786451" t="s">
        <v>17</v>
      </c>
    </row>
    <row r="786452" spans="1:1" x14ac:dyDescent="0.2">
      <c r="A786452" t="s">
        <v>18</v>
      </c>
    </row>
    <row r="786453" spans="1:1" x14ac:dyDescent="0.2">
      <c r="A786453" t="s">
        <v>19</v>
      </c>
    </row>
    <row r="786454" spans="1:1" x14ac:dyDescent="0.2">
      <c r="A786454" t="s">
        <v>20</v>
      </c>
    </row>
    <row r="786455" spans="1:1" x14ac:dyDescent="0.2">
      <c r="A786455" t="s">
        <v>21</v>
      </c>
    </row>
    <row r="786456" spans="1:1" x14ac:dyDescent="0.2">
      <c r="A786456" t="s">
        <v>22</v>
      </c>
    </row>
    <row r="786457" spans="1:1" x14ac:dyDescent="0.2">
      <c r="A786457" t="s">
        <v>23</v>
      </c>
    </row>
    <row r="786458" spans="1:1" x14ac:dyDescent="0.2">
      <c r="A786458" t="s">
        <v>24</v>
      </c>
    </row>
    <row r="786459" spans="1:1" x14ac:dyDescent="0.2">
      <c r="A786459" t="s">
        <v>25</v>
      </c>
    </row>
    <row r="786460" spans="1:1" x14ac:dyDescent="0.2">
      <c r="A786460" t="s">
        <v>26</v>
      </c>
    </row>
    <row r="786461" spans="1:1" x14ac:dyDescent="0.2">
      <c r="A786461" t="s">
        <v>27</v>
      </c>
    </row>
    <row r="786462" spans="1:1" x14ac:dyDescent="0.2">
      <c r="A786462" t="s">
        <v>28</v>
      </c>
    </row>
    <row r="786463" spans="1:1" x14ac:dyDescent="0.2">
      <c r="A786463" t="s">
        <v>29</v>
      </c>
    </row>
    <row r="786464" spans="1:1" x14ac:dyDescent="0.2">
      <c r="A786464" t="s">
        <v>30</v>
      </c>
    </row>
    <row r="786465" spans="1:1" x14ac:dyDescent="0.2">
      <c r="A786465" t="s">
        <v>31</v>
      </c>
    </row>
    <row r="786466" spans="1:1" x14ac:dyDescent="0.2">
      <c r="A786466" t="s">
        <v>32</v>
      </c>
    </row>
    <row r="802818" spans="1:1" x14ac:dyDescent="0.2">
      <c r="A802818" t="s">
        <v>0</v>
      </c>
    </row>
    <row r="802819" spans="1:1" x14ac:dyDescent="0.2">
      <c r="A802819" t="s">
        <v>1</v>
      </c>
    </row>
    <row r="802820" spans="1:1" x14ac:dyDescent="0.2">
      <c r="A802820" t="s">
        <v>2</v>
      </c>
    </row>
    <row r="802821" spans="1:1" x14ac:dyDescent="0.2">
      <c r="A802821" t="s">
        <v>3</v>
      </c>
    </row>
    <row r="802822" spans="1:1" x14ac:dyDescent="0.2">
      <c r="A802822" t="s">
        <v>4</v>
      </c>
    </row>
    <row r="802823" spans="1:1" x14ac:dyDescent="0.2">
      <c r="A802823" t="s">
        <v>5</v>
      </c>
    </row>
    <row r="802824" spans="1:1" x14ac:dyDescent="0.2">
      <c r="A802824" t="s">
        <v>6</v>
      </c>
    </row>
    <row r="802825" spans="1:1" x14ac:dyDescent="0.2">
      <c r="A802825" t="s">
        <v>7</v>
      </c>
    </row>
    <row r="802826" spans="1:1" x14ac:dyDescent="0.2">
      <c r="A802826" t="s">
        <v>8</v>
      </c>
    </row>
    <row r="802827" spans="1:1" x14ac:dyDescent="0.2">
      <c r="A802827" t="s">
        <v>9</v>
      </c>
    </row>
    <row r="802828" spans="1:1" x14ac:dyDescent="0.2">
      <c r="A802828" t="s">
        <v>10</v>
      </c>
    </row>
    <row r="802829" spans="1:1" x14ac:dyDescent="0.2">
      <c r="A802829" t="s">
        <v>11</v>
      </c>
    </row>
    <row r="802830" spans="1:1" x14ac:dyDescent="0.2">
      <c r="A802830" t="s">
        <v>12</v>
      </c>
    </row>
    <row r="802831" spans="1:1" x14ac:dyDescent="0.2">
      <c r="A802831" t="s">
        <v>13</v>
      </c>
    </row>
    <row r="802832" spans="1:1" x14ac:dyDescent="0.2">
      <c r="A802832" t="s">
        <v>14</v>
      </c>
    </row>
    <row r="802833" spans="1:1" x14ac:dyDescent="0.2">
      <c r="A802833" t="s">
        <v>15</v>
      </c>
    </row>
    <row r="802834" spans="1:1" x14ac:dyDescent="0.2">
      <c r="A802834" t="s">
        <v>16</v>
      </c>
    </row>
    <row r="802835" spans="1:1" x14ac:dyDescent="0.2">
      <c r="A802835" t="s">
        <v>17</v>
      </c>
    </row>
    <row r="802836" spans="1:1" x14ac:dyDescent="0.2">
      <c r="A802836" t="s">
        <v>18</v>
      </c>
    </row>
    <row r="802837" spans="1:1" x14ac:dyDescent="0.2">
      <c r="A802837" t="s">
        <v>19</v>
      </c>
    </row>
    <row r="802838" spans="1:1" x14ac:dyDescent="0.2">
      <c r="A802838" t="s">
        <v>20</v>
      </c>
    </row>
    <row r="802839" spans="1:1" x14ac:dyDescent="0.2">
      <c r="A802839" t="s">
        <v>21</v>
      </c>
    </row>
    <row r="802840" spans="1:1" x14ac:dyDescent="0.2">
      <c r="A802840" t="s">
        <v>22</v>
      </c>
    </row>
    <row r="802841" spans="1:1" x14ac:dyDescent="0.2">
      <c r="A802841" t="s">
        <v>23</v>
      </c>
    </row>
    <row r="802842" spans="1:1" x14ac:dyDescent="0.2">
      <c r="A802842" t="s">
        <v>24</v>
      </c>
    </row>
    <row r="802843" spans="1:1" x14ac:dyDescent="0.2">
      <c r="A802843" t="s">
        <v>25</v>
      </c>
    </row>
    <row r="802844" spans="1:1" x14ac:dyDescent="0.2">
      <c r="A802844" t="s">
        <v>26</v>
      </c>
    </row>
    <row r="802845" spans="1:1" x14ac:dyDescent="0.2">
      <c r="A802845" t="s">
        <v>27</v>
      </c>
    </row>
    <row r="802846" spans="1:1" x14ac:dyDescent="0.2">
      <c r="A802846" t="s">
        <v>28</v>
      </c>
    </row>
    <row r="802847" spans="1:1" x14ac:dyDescent="0.2">
      <c r="A802847" t="s">
        <v>29</v>
      </c>
    </row>
    <row r="802848" spans="1:1" x14ac:dyDescent="0.2">
      <c r="A802848" t="s">
        <v>30</v>
      </c>
    </row>
    <row r="802849" spans="1:1" x14ac:dyDescent="0.2">
      <c r="A802849" t="s">
        <v>31</v>
      </c>
    </row>
    <row r="802850" spans="1:1" x14ac:dyDescent="0.2">
      <c r="A802850" t="s">
        <v>32</v>
      </c>
    </row>
    <row r="819202" spans="1:1" x14ac:dyDescent="0.2">
      <c r="A819202" t="s">
        <v>0</v>
      </c>
    </row>
    <row r="819203" spans="1:1" x14ac:dyDescent="0.2">
      <c r="A819203" t="s">
        <v>1</v>
      </c>
    </row>
    <row r="819204" spans="1:1" x14ac:dyDescent="0.2">
      <c r="A819204" t="s">
        <v>2</v>
      </c>
    </row>
    <row r="819205" spans="1:1" x14ac:dyDescent="0.2">
      <c r="A819205" t="s">
        <v>3</v>
      </c>
    </row>
    <row r="819206" spans="1:1" x14ac:dyDescent="0.2">
      <c r="A819206" t="s">
        <v>4</v>
      </c>
    </row>
    <row r="819207" spans="1:1" x14ac:dyDescent="0.2">
      <c r="A819207" t="s">
        <v>5</v>
      </c>
    </row>
    <row r="819208" spans="1:1" x14ac:dyDescent="0.2">
      <c r="A819208" t="s">
        <v>6</v>
      </c>
    </row>
    <row r="819209" spans="1:1" x14ac:dyDescent="0.2">
      <c r="A819209" t="s">
        <v>7</v>
      </c>
    </row>
    <row r="819210" spans="1:1" x14ac:dyDescent="0.2">
      <c r="A819210" t="s">
        <v>8</v>
      </c>
    </row>
    <row r="819211" spans="1:1" x14ac:dyDescent="0.2">
      <c r="A819211" t="s">
        <v>9</v>
      </c>
    </row>
    <row r="819212" spans="1:1" x14ac:dyDescent="0.2">
      <c r="A819212" t="s">
        <v>10</v>
      </c>
    </row>
    <row r="819213" spans="1:1" x14ac:dyDescent="0.2">
      <c r="A819213" t="s">
        <v>11</v>
      </c>
    </row>
    <row r="819214" spans="1:1" x14ac:dyDescent="0.2">
      <c r="A819214" t="s">
        <v>12</v>
      </c>
    </row>
    <row r="819215" spans="1:1" x14ac:dyDescent="0.2">
      <c r="A819215" t="s">
        <v>13</v>
      </c>
    </row>
    <row r="819216" spans="1:1" x14ac:dyDescent="0.2">
      <c r="A819216" t="s">
        <v>14</v>
      </c>
    </row>
    <row r="819217" spans="1:1" x14ac:dyDescent="0.2">
      <c r="A819217" t="s">
        <v>15</v>
      </c>
    </row>
    <row r="819218" spans="1:1" x14ac:dyDescent="0.2">
      <c r="A819218" t="s">
        <v>16</v>
      </c>
    </row>
    <row r="819219" spans="1:1" x14ac:dyDescent="0.2">
      <c r="A819219" t="s">
        <v>17</v>
      </c>
    </row>
    <row r="819220" spans="1:1" x14ac:dyDescent="0.2">
      <c r="A819220" t="s">
        <v>18</v>
      </c>
    </row>
    <row r="819221" spans="1:1" x14ac:dyDescent="0.2">
      <c r="A819221" t="s">
        <v>19</v>
      </c>
    </row>
    <row r="819222" spans="1:1" x14ac:dyDescent="0.2">
      <c r="A819222" t="s">
        <v>20</v>
      </c>
    </row>
    <row r="819223" spans="1:1" x14ac:dyDescent="0.2">
      <c r="A819223" t="s">
        <v>21</v>
      </c>
    </row>
    <row r="819224" spans="1:1" x14ac:dyDescent="0.2">
      <c r="A819224" t="s">
        <v>22</v>
      </c>
    </row>
    <row r="819225" spans="1:1" x14ac:dyDescent="0.2">
      <c r="A819225" t="s">
        <v>23</v>
      </c>
    </row>
    <row r="819226" spans="1:1" x14ac:dyDescent="0.2">
      <c r="A819226" t="s">
        <v>24</v>
      </c>
    </row>
    <row r="819227" spans="1:1" x14ac:dyDescent="0.2">
      <c r="A819227" t="s">
        <v>25</v>
      </c>
    </row>
    <row r="819228" spans="1:1" x14ac:dyDescent="0.2">
      <c r="A819228" t="s">
        <v>26</v>
      </c>
    </row>
    <row r="819229" spans="1:1" x14ac:dyDescent="0.2">
      <c r="A819229" t="s">
        <v>27</v>
      </c>
    </row>
    <row r="819230" spans="1:1" x14ac:dyDescent="0.2">
      <c r="A819230" t="s">
        <v>28</v>
      </c>
    </row>
    <row r="819231" spans="1:1" x14ac:dyDescent="0.2">
      <c r="A819231" t="s">
        <v>29</v>
      </c>
    </row>
    <row r="819232" spans="1:1" x14ac:dyDescent="0.2">
      <c r="A819232" t="s">
        <v>30</v>
      </c>
    </row>
    <row r="819233" spans="1:1" x14ac:dyDescent="0.2">
      <c r="A819233" t="s">
        <v>31</v>
      </c>
    </row>
    <row r="819234" spans="1:1" x14ac:dyDescent="0.2">
      <c r="A819234" t="s">
        <v>32</v>
      </c>
    </row>
    <row r="835586" spans="1:1" x14ac:dyDescent="0.2">
      <c r="A835586" t="s">
        <v>0</v>
      </c>
    </row>
    <row r="835587" spans="1:1" x14ac:dyDescent="0.2">
      <c r="A835587" t="s">
        <v>1</v>
      </c>
    </row>
    <row r="835588" spans="1:1" x14ac:dyDescent="0.2">
      <c r="A835588" t="s">
        <v>2</v>
      </c>
    </row>
    <row r="835589" spans="1:1" x14ac:dyDescent="0.2">
      <c r="A835589" t="s">
        <v>3</v>
      </c>
    </row>
    <row r="835590" spans="1:1" x14ac:dyDescent="0.2">
      <c r="A835590" t="s">
        <v>4</v>
      </c>
    </row>
    <row r="835591" spans="1:1" x14ac:dyDescent="0.2">
      <c r="A835591" t="s">
        <v>5</v>
      </c>
    </row>
    <row r="835592" spans="1:1" x14ac:dyDescent="0.2">
      <c r="A835592" t="s">
        <v>6</v>
      </c>
    </row>
    <row r="835593" spans="1:1" x14ac:dyDescent="0.2">
      <c r="A835593" t="s">
        <v>7</v>
      </c>
    </row>
    <row r="835594" spans="1:1" x14ac:dyDescent="0.2">
      <c r="A835594" t="s">
        <v>8</v>
      </c>
    </row>
    <row r="835595" spans="1:1" x14ac:dyDescent="0.2">
      <c r="A835595" t="s">
        <v>9</v>
      </c>
    </row>
    <row r="835596" spans="1:1" x14ac:dyDescent="0.2">
      <c r="A835596" t="s">
        <v>10</v>
      </c>
    </row>
    <row r="835597" spans="1:1" x14ac:dyDescent="0.2">
      <c r="A835597" t="s">
        <v>11</v>
      </c>
    </row>
    <row r="835598" spans="1:1" x14ac:dyDescent="0.2">
      <c r="A835598" t="s">
        <v>12</v>
      </c>
    </row>
    <row r="835599" spans="1:1" x14ac:dyDescent="0.2">
      <c r="A835599" t="s">
        <v>13</v>
      </c>
    </row>
    <row r="835600" spans="1:1" x14ac:dyDescent="0.2">
      <c r="A835600" t="s">
        <v>14</v>
      </c>
    </row>
    <row r="835601" spans="1:1" x14ac:dyDescent="0.2">
      <c r="A835601" t="s">
        <v>15</v>
      </c>
    </row>
    <row r="835602" spans="1:1" x14ac:dyDescent="0.2">
      <c r="A835602" t="s">
        <v>16</v>
      </c>
    </row>
    <row r="835603" spans="1:1" x14ac:dyDescent="0.2">
      <c r="A835603" t="s">
        <v>17</v>
      </c>
    </row>
    <row r="835604" spans="1:1" x14ac:dyDescent="0.2">
      <c r="A835604" t="s">
        <v>18</v>
      </c>
    </row>
    <row r="835605" spans="1:1" x14ac:dyDescent="0.2">
      <c r="A835605" t="s">
        <v>19</v>
      </c>
    </row>
    <row r="835606" spans="1:1" x14ac:dyDescent="0.2">
      <c r="A835606" t="s">
        <v>20</v>
      </c>
    </row>
    <row r="835607" spans="1:1" x14ac:dyDescent="0.2">
      <c r="A835607" t="s">
        <v>21</v>
      </c>
    </row>
    <row r="835608" spans="1:1" x14ac:dyDescent="0.2">
      <c r="A835608" t="s">
        <v>22</v>
      </c>
    </row>
    <row r="835609" spans="1:1" x14ac:dyDescent="0.2">
      <c r="A835609" t="s">
        <v>23</v>
      </c>
    </row>
    <row r="835610" spans="1:1" x14ac:dyDescent="0.2">
      <c r="A835610" t="s">
        <v>24</v>
      </c>
    </row>
    <row r="835611" spans="1:1" x14ac:dyDescent="0.2">
      <c r="A835611" t="s">
        <v>25</v>
      </c>
    </row>
    <row r="835612" spans="1:1" x14ac:dyDescent="0.2">
      <c r="A835612" t="s">
        <v>26</v>
      </c>
    </row>
    <row r="835613" spans="1:1" x14ac:dyDescent="0.2">
      <c r="A835613" t="s">
        <v>27</v>
      </c>
    </row>
    <row r="835614" spans="1:1" x14ac:dyDescent="0.2">
      <c r="A835614" t="s">
        <v>28</v>
      </c>
    </row>
    <row r="835615" spans="1:1" x14ac:dyDescent="0.2">
      <c r="A835615" t="s">
        <v>29</v>
      </c>
    </row>
    <row r="835616" spans="1:1" x14ac:dyDescent="0.2">
      <c r="A835616" t="s">
        <v>30</v>
      </c>
    </row>
    <row r="835617" spans="1:1" x14ac:dyDescent="0.2">
      <c r="A835617" t="s">
        <v>31</v>
      </c>
    </row>
    <row r="835618" spans="1:1" x14ac:dyDescent="0.2">
      <c r="A835618" t="s">
        <v>32</v>
      </c>
    </row>
    <row r="851970" spans="1:1" x14ac:dyDescent="0.2">
      <c r="A851970" t="s">
        <v>0</v>
      </c>
    </row>
    <row r="851971" spans="1:1" x14ac:dyDescent="0.2">
      <c r="A851971" t="s">
        <v>1</v>
      </c>
    </row>
    <row r="851972" spans="1:1" x14ac:dyDescent="0.2">
      <c r="A851972" t="s">
        <v>2</v>
      </c>
    </row>
    <row r="851973" spans="1:1" x14ac:dyDescent="0.2">
      <c r="A851973" t="s">
        <v>3</v>
      </c>
    </row>
    <row r="851974" spans="1:1" x14ac:dyDescent="0.2">
      <c r="A851974" t="s">
        <v>4</v>
      </c>
    </row>
    <row r="851975" spans="1:1" x14ac:dyDescent="0.2">
      <c r="A851975" t="s">
        <v>5</v>
      </c>
    </row>
    <row r="851976" spans="1:1" x14ac:dyDescent="0.2">
      <c r="A851976" t="s">
        <v>6</v>
      </c>
    </row>
    <row r="851977" spans="1:1" x14ac:dyDescent="0.2">
      <c r="A851977" t="s">
        <v>7</v>
      </c>
    </row>
    <row r="851978" spans="1:1" x14ac:dyDescent="0.2">
      <c r="A851978" t="s">
        <v>8</v>
      </c>
    </row>
    <row r="851979" spans="1:1" x14ac:dyDescent="0.2">
      <c r="A851979" t="s">
        <v>9</v>
      </c>
    </row>
    <row r="851980" spans="1:1" x14ac:dyDescent="0.2">
      <c r="A851980" t="s">
        <v>10</v>
      </c>
    </row>
    <row r="851981" spans="1:1" x14ac:dyDescent="0.2">
      <c r="A851981" t="s">
        <v>11</v>
      </c>
    </row>
    <row r="851982" spans="1:1" x14ac:dyDescent="0.2">
      <c r="A851982" t="s">
        <v>12</v>
      </c>
    </row>
    <row r="851983" spans="1:1" x14ac:dyDescent="0.2">
      <c r="A851983" t="s">
        <v>13</v>
      </c>
    </row>
    <row r="851984" spans="1:1" x14ac:dyDescent="0.2">
      <c r="A851984" t="s">
        <v>14</v>
      </c>
    </row>
    <row r="851985" spans="1:1" x14ac:dyDescent="0.2">
      <c r="A851985" t="s">
        <v>15</v>
      </c>
    </row>
    <row r="851986" spans="1:1" x14ac:dyDescent="0.2">
      <c r="A851986" t="s">
        <v>16</v>
      </c>
    </row>
    <row r="851987" spans="1:1" x14ac:dyDescent="0.2">
      <c r="A851987" t="s">
        <v>17</v>
      </c>
    </row>
    <row r="851988" spans="1:1" x14ac:dyDescent="0.2">
      <c r="A851988" t="s">
        <v>18</v>
      </c>
    </row>
    <row r="851989" spans="1:1" x14ac:dyDescent="0.2">
      <c r="A851989" t="s">
        <v>19</v>
      </c>
    </row>
    <row r="851990" spans="1:1" x14ac:dyDescent="0.2">
      <c r="A851990" t="s">
        <v>20</v>
      </c>
    </row>
    <row r="851991" spans="1:1" x14ac:dyDescent="0.2">
      <c r="A851991" t="s">
        <v>21</v>
      </c>
    </row>
    <row r="851992" spans="1:1" x14ac:dyDescent="0.2">
      <c r="A851992" t="s">
        <v>22</v>
      </c>
    </row>
    <row r="851993" spans="1:1" x14ac:dyDescent="0.2">
      <c r="A851993" t="s">
        <v>23</v>
      </c>
    </row>
    <row r="851994" spans="1:1" x14ac:dyDescent="0.2">
      <c r="A851994" t="s">
        <v>24</v>
      </c>
    </row>
    <row r="851995" spans="1:1" x14ac:dyDescent="0.2">
      <c r="A851995" t="s">
        <v>25</v>
      </c>
    </row>
    <row r="851996" spans="1:1" x14ac:dyDescent="0.2">
      <c r="A851996" t="s">
        <v>26</v>
      </c>
    </row>
    <row r="851997" spans="1:1" x14ac:dyDescent="0.2">
      <c r="A851997" t="s">
        <v>27</v>
      </c>
    </row>
    <row r="851998" spans="1:1" x14ac:dyDescent="0.2">
      <c r="A851998" t="s">
        <v>28</v>
      </c>
    </row>
    <row r="851999" spans="1:1" x14ac:dyDescent="0.2">
      <c r="A851999" t="s">
        <v>29</v>
      </c>
    </row>
    <row r="852000" spans="1:1" x14ac:dyDescent="0.2">
      <c r="A852000" t="s">
        <v>30</v>
      </c>
    </row>
    <row r="852001" spans="1:1" x14ac:dyDescent="0.2">
      <c r="A852001" t="s">
        <v>31</v>
      </c>
    </row>
    <row r="852002" spans="1:1" x14ac:dyDescent="0.2">
      <c r="A852002" t="s">
        <v>32</v>
      </c>
    </row>
    <row r="868354" spans="1:1" x14ac:dyDescent="0.2">
      <c r="A868354" t="s">
        <v>0</v>
      </c>
    </row>
    <row r="868355" spans="1:1" x14ac:dyDescent="0.2">
      <c r="A868355" t="s">
        <v>1</v>
      </c>
    </row>
    <row r="868356" spans="1:1" x14ac:dyDescent="0.2">
      <c r="A868356" t="s">
        <v>2</v>
      </c>
    </row>
    <row r="868357" spans="1:1" x14ac:dyDescent="0.2">
      <c r="A868357" t="s">
        <v>3</v>
      </c>
    </row>
    <row r="868358" spans="1:1" x14ac:dyDescent="0.2">
      <c r="A868358" t="s">
        <v>4</v>
      </c>
    </row>
    <row r="868359" spans="1:1" x14ac:dyDescent="0.2">
      <c r="A868359" t="s">
        <v>5</v>
      </c>
    </row>
    <row r="868360" spans="1:1" x14ac:dyDescent="0.2">
      <c r="A868360" t="s">
        <v>6</v>
      </c>
    </row>
    <row r="868361" spans="1:1" x14ac:dyDescent="0.2">
      <c r="A868361" t="s">
        <v>7</v>
      </c>
    </row>
    <row r="868362" spans="1:1" x14ac:dyDescent="0.2">
      <c r="A868362" t="s">
        <v>8</v>
      </c>
    </row>
    <row r="868363" spans="1:1" x14ac:dyDescent="0.2">
      <c r="A868363" t="s">
        <v>9</v>
      </c>
    </row>
    <row r="868364" spans="1:1" x14ac:dyDescent="0.2">
      <c r="A868364" t="s">
        <v>10</v>
      </c>
    </row>
    <row r="868365" spans="1:1" x14ac:dyDescent="0.2">
      <c r="A868365" t="s">
        <v>11</v>
      </c>
    </row>
    <row r="868366" spans="1:1" x14ac:dyDescent="0.2">
      <c r="A868366" t="s">
        <v>12</v>
      </c>
    </row>
    <row r="868367" spans="1:1" x14ac:dyDescent="0.2">
      <c r="A868367" t="s">
        <v>13</v>
      </c>
    </row>
    <row r="868368" spans="1:1" x14ac:dyDescent="0.2">
      <c r="A868368" t="s">
        <v>14</v>
      </c>
    </row>
    <row r="868369" spans="1:1" x14ac:dyDescent="0.2">
      <c r="A868369" t="s">
        <v>15</v>
      </c>
    </row>
    <row r="868370" spans="1:1" x14ac:dyDescent="0.2">
      <c r="A868370" t="s">
        <v>16</v>
      </c>
    </row>
    <row r="868371" spans="1:1" x14ac:dyDescent="0.2">
      <c r="A868371" t="s">
        <v>17</v>
      </c>
    </row>
    <row r="868372" spans="1:1" x14ac:dyDescent="0.2">
      <c r="A868372" t="s">
        <v>18</v>
      </c>
    </row>
    <row r="868373" spans="1:1" x14ac:dyDescent="0.2">
      <c r="A868373" t="s">
        <v>19</v>
      </c>
    </row>
    <row r="868374" spans="1:1" x14ac:dyDescent="0.2">
      <c r="A868374" t="s">
        <v>20</v>
      </c>
    </row>
    <row r="868375" spans="1:1" x14ac:dyDescent="0.2">
      <c r="A868375" t="s">
        <v>21</v>
      </c>
    </row>
    <row r="868376" spans="1:1" x14ac:dyDescent="0.2">
      <c r="A868376" t="s">
        <v>22</v>
      </c>
    </row>
    <row r="868377" spans="1:1" x14ac:dyDescent="0.2">
      <c r="A868377" t="s">
        <v>23</v>
      </c>
    </row>
    <row r="868378" spans="1:1" x14ac:dyDescent="0.2">
      <c r="A868378" t="s">
        <v>24</v>
      </c>
    </row>
    <row r="868379" spans="1:1" x14ac:dyDescent="0.2">
      <c r="A868379" t="s">
        <v>25</v>
      </c>
    </row>
    <row r="868380" spans="1:1" x14ac:dyDescent="0.2">
      <c r="A868380" t="s">
        <v>26</v>
      </c>
    </row>
    <row r="868381" spans="1:1" x14ac:dyDescent="0.2">
      <c r="A868381" t="s">
        <v>27</v>
      </c>
    </row>
    <row r="868382" spans="1:1" x14ac:dyDescent="0.2">
      <c r="A868382" t="s">
        <v>28</v>
      </c>
    </row>
    <row r="868383" spans="1:1" x14ac:dyDescent="0.2">
      <c r="A868383" t="s">
        <v>29</v>
      </c>
    </row>
    <row r="868384" spans="1:1" x14ac:dyDescent="0.2">
      <c r="A868384" t="s">
        <v>30</v>
      </c>
    </row>
    <row r="868385" spans="1:1" x14ac:dyDescent="0.2">
      <c r="A868385" t="s">
        <v>31</v>
      </c>
    </row>
    <row r="868386" spans="1:1" x14ac:dyDescent="0.2">
      <c r="A868386" t="s">
        <v>32</v>
      </c>
    </row>
    <row r="884738" spans="1:1" x14ac:dyDescent="0.2">
      <c r="A884738" t="s">
        <v>0</v>
      </c>
    </row>
    <row r="884739" spans="1:1" x14ac:dyDescent="0.2">
      <c r="A884739" t="s">
        <v>1</v>
      </c>
    </row>
    <row r="884740" spans="1:1" x14ac:dyDescent="0.2">
      <c r="A884740" t="s">
        <v>2</v>
      </c>
    </row>
    <row r="884741" spans="1:1" x14ac:dyDescent="0.2">
      <c r="A884741" t="s">
        <v>3</v>
      </c>
    </row>
    <row r="884742" spans="1:1" x14ac:dyDescent="0.2">
      <c r="A884742" t="s">
        <v>4</v>
      </c>
    </row>
    <row r="884743" spans="1:1" x14ac:dyDescent="0.2">
      <c r="A884743" t="s">
        <v>5</v>
      </c>
    </row>
    <row r="884744" spans="1:1" x14ac:dyDescent="0.2">
      <c r="A884744" t="s">
        <v>6</v>
      </c>
    </row>
    <row r="884745" spans="1:1" x14ac:dyDescent="0.2">
      <c r="A884745" t="s">
        <v>7</v>
      </c>
    </row>
    <row r="884746" spans="1:1" x14ac:dyDescent="0.2">
      <c r="A884746" t="s">
        <v>8</v>
      </c>
    </row>
    <row r="884747" spans="1:1" x14ac:dyDescent="0.2">
      <c r="A884747" t="s">
        <v>9</v>
      </c>
    </row>
    <row r="884748" spans="1:1" x14ac:dyDescent="0.2">
      <c r="A884748" t="s">
        <v>10</v>
      </c>
    </row>
    <row r="884749" spans="1:1" x14ac:dyDescent="0.2">
      <c r="A884749" t="s">
        <v>11</v>
      </c>
    </row>
    <row r="884750" spans="1:1" x14ac:dyDescent="0.2">
      <c r="A884750" t="s">
        <v>12</v>
      </c>
    </row>
    <row r="884751" spans="1:1" x14ac:dyDescent="0.2">
      <c r="A884751" t="s">
        <v>13</v>
      </c>
    </row>
    <row r="884752" spans="1:1" x14ac:dyDescent="0.2">
      <c r="A884752" t="s">
        <v>14</v>
      </c>
    </row>
    <row r="884753" spans="1:1" x14ac:dyDescent="0.2">
      <c r="A884753" t="s">
        <v>15</v>
      </c>
    </row>
    <row r="884754" spans="1:1" x14ac:dyDescent="0.2">
      <c r="A884754" t="s">
        <v>16</v>
      </c>
    </row>
    <row r="884755" spans="1:1" x14ac:dyDescent="0.2">
      <c r="A884755" t="s">
        <v>17</v>
      </c>
    </row>
    <row r="884756" spans="1:1" x14ac:dyDescent="0.2">
      <c r="A884756" t="s">
        <v>18</v>
      </c>
    </row>
    <row r="884757" spans="1:1" x14ac:dyDescent="0.2">
      <c r="A884757" t="s">
        <v>19</v>
      </c>
    </row>
    <row r="884758" spans="1:1" x14ac:dyDescent="0.2">
      <c r="A884758" t="s">
        <v>20</v>
      </c>
    </row>
    <row r="884759" spans="1:1" x14ac:dyDescent="0.2">
      <c r="A884759" t="s">
        <v>21</v>
      </c>
    </row>
    <row r="884760" spans="1:1" x14ac:dyDescent="0.2">
      <c r="A884760" t="s">
        <v>22</v>
      </c>
    </row>
    <row r="884761" spans="1:1" x14ac:dyDescent="0.2">
      <c r="A884761" t="s">
        <v>23</v>
      </c>
    </row>
    <row r="884762" spans="1:1" x14ac:dyDescent="0.2">
      <c r="A884762" t="s">
        <v>24</v>
      </c>
    </row>
    <row r="884763" spans="1:1" x14ac:dyDescent="0.2">
      <c r="A884763" t="s">
        <v>25</v>
      </c>
    </row>
    <row r="884764" spans="1:1" x14ac:dyDescent="0.2">
      <c r="A884764" t="s">
        <v>26</v>
      </c>
    </row>
    <row r="884765" spans="1:1" x14ac:dyDescent="0.2">
      <c r="A884765" t="s">
        <v>27</v>
      </c>
    </row>
    <row r="884766" spans="1:1" x14ac:dyDescent="0.2">
      <c r="A884766" t="s">
        <v>28</v>
      </c>
    </row>
    <row r="884767" spans="1:1" x14ac:dyDescent="0.2">
      <c r="A884767" t="s">
        <v>29</v>
      </c>
    </row>
    <row r="884768" spans="1:1" x14ac:dyDescent="0.2">
      <c r="A884768" t="s">
        <v>30</v>
      </c>
    </row>
    <row r="884769" spans="1:1" x14ac:dyDescent="0.2">
      <c r="A884769" t="s">
        <v>31</v>
      </c>
    </row>
    <row r="884770" spans="1:1" x14ac:dyDescent="0.2">
      <c r="A884770" t="s">
        <v>32</v>
      </c>
    </row>
    <row r="901122" spans="1:1" x14ac:dyDescent="0.2">
      <c r="A901122" t="s">
        <v>0</v>
      </c>
    </row>
    <row r="901123" spans="1:1" x14ac:dyDescent="0.2">
      <c r="A901123" t="s">
        <v>1</v>
      </c>
    </row>
    <row r="901124" spans="1:1" x14ac:dyDescent="0.2">
      <c r="A901124" t="s">
        <v>2</v>
      </c>
    </row>
    <row r="901125" spans="1:1" x14ac:dyDescent="0.2">
      <c r="A901125" t="s">
        <v>3</v>
      </c>
    </row>
    <row r="901126" spans="1:1" x14ac:dyDescent="0.2">
      <c r="A901126" t="s">
        <v>4</v>
      </c>
    </row>
    <row r="901127" spans="1:1" x14ac:dyDescent="0.2">
      <c r="A901127" t="s">
        <v>5</v>
      </c>
    </row>
    <row r="901128" spans="1:1" x14ac:dyDescent="0.2">
      <c r="A901128" t="s">
        <v>6</v>
      </c>
    </row>
    <row r="901129" spans="1:1" x14ac:dyDescent="0.2">
      <c r="A901129" t="s">
        <v>7</v>
      </c>
    </row>
    <row r="901130" spans="1:1" x14ac:dyDescent="0.2">
      <c r="A901130" t="s">
        <v>8</v>
      </c>
    </row>
    <row r="901131" spans="1:1" x14ac:dyDescent="0.2">
      <c r="A901131" t="s">
        <v>9</v>
      </c>
    </row>
    <row r="901132" spans="1:1" x14ac:dyDescent="0.2">
      <c r="A901132" t="s">
        <v>10</v>
      </c>
    </row>
    <row r="901133" spans="1:1" x14ac:dyDescent="0.2">
      <c r="A901133" t="s">
        <v>11</v>
      </c>
    </row>
    <row r="901134" spans="1:1" x14ac:dyDescent="0.2">
      <c r="A901134" t="s">
        <v>12</v>
      </c>
    </row>
    <row r="901135" spans="1:1" x14ac:dyDescent="0.2">
      <c r="A901135" t="s">
        <v>13</v>
      </c>
    </row>
    <row r="901136" spans="1:1" x14ac:dyDescent="0.2">
      <c r="A901136" t="s">
        <v>14</v>
      </c>
    </row>
    <row r="901137" spans="1:1" x14ac:dyDescent="0.2">
      <c r="A901137" t="s">
        <v>15</v>
      </c>
    </row>
    <row r="901138" spans="1:1" x14ac:dyDescent="0.2">
      <c r="A901138" t="s">
        <v>16</v>
      </c>
    </row>
    <row r="901139" spans="1:1" x14ac:dyDescent="0.2">
      <c r="A901139" t="s">
        <v>17</v>
      </c>
    </row>
    <row r="901140" spans="1:1" x14ac:dyDescent="0.2">
      <c r="A901140" t="s">
        <v>18</v>
      </c>
    </row>
    <row r="901141" spans="1:1" x14ac:dyDescent="0.2">
      <c r="A901141" t="s">
        <v>19</v>
      </c>
    </row>
    <row r="901142" spans="1:1" x14ac:dyDescent="0.2">
      <c r="A901142" t="s">
        <v>20</v>
      </c>
    </row>
    <row r="901143" spans="1:1" x14ac:dyDescent="0.2">
      <c r="A901143" t="s">
        <v>21</v>
      </c>
    </row>
    <row r="901144" spans="1:1" x14ac:dyDescent="0.2">
      <c r="A901144" t="s">
        <v>22</v>
      </c>
    </row>
    <row r="901145" spans="1:1" x14ac:dyDescent="0.2">
      <c r="A901145" t="s">
        <v>23</v>
      </c>
    </row>
    <row r="901146" spans="1:1" x14ac:dyDescent="0.2">
      <c r="A901146" t="s">
        <v>24</v>
      </c>
    </row>
    <row r="901147" spans="1:1" x14ac:dyDescent="0.2">
      <c r="A901147" t="s">
        <v>25</v>
      </c>
    </row>
    <row r="901148" spans="1:1" x14ac:dyDescent="0.2">
      <c r="A901148" t="s">
        <v>26</v>
      </c>
    </row>
    <row r="901149" spans="1:1" x14ac:dyDescent="0.2">
      <c r="A901149" t="s">
        <v>27</v>
      </c>
    </row>
    <row r="901150" spans="1:1" x14ac:dyDescent="0.2">
      <c r="A901150" t="s">
        <v>28</v>
      </c>
    </row>
    <row r="901151" spans="1:1" x14ac:dyDescent="0.2">
      <c r="A901151" t="s">
        <v>29</v>
      </c>
    </row>
    <row r="901152" spans="1:1" x14ac:dyDescent="0.2">
      <c r="A901152" t="s">
        <v>30</v>
      </c>
    </row>
    <row r="901153" spans="1:1" x14ac:dyDescent="0.2">
      <c r="A901153" t="s">
        <v>31</v>
      </c>
    </row>
    <row r="901154" spans="1:1" x14ac:dyDescent="0.2">
      <c r="A901154" t="s">
        <v>32</v>
      </c>
    </row>
    <row r="917506" spans="1:1" x14ac:dyDescent="0.2">
      <c r="A917506" t="s">
        <v>0</v>
      </c>
    </row>
    <row r="917507" spans="1:1" x14ac:dyDescent="0.2">
      <c r="A917507" t="s">
        <v>1</v>
      </c>
    </row>
    <row r="917508" spans="1:1" x14ac:dyDescent="0.2">
      <c r="A917508" t="s">
        <v>2</v>
      </c>
    </row>
    <row r="917509" spans="1:1" x14ac:dyDescent="0.2">
      <c r="A917509" t="s">
        <v>3</v>
      </c>
    </row>
    <row r="917510" spans="1:1" x14ac:dyDescent="0.2">
      <c r="A917510" t="s">
        <v>4</v>
      </c>
    </row>
    <row r="917511" spans="1:1" x14ac:dyDescent="0.2">
      <c r="A917511" t="s">
        <v>5</v>
      </c>
    </row>
    <row r="917512" spans="1:1" x14ac:dyDescent="0.2">
      <c r="A917512" t="s">
        <v>6</v>
      </c>
    </row>
    <row r="917513" spans="1:1" x14ac:dyDescent="0.2">
      <c r="A917513" t="s">
        <v>7</v>
      </c>
    </row>
    <row r="917514" spans="1:1" x14ac:dyDescent="0.2">
      <c r="A917514" t="s">
        <v>8</v>
      </c>
    </row>
    <row r="917515" spans="1:1" x14ac:dyDescent="0.2">
      <c r="A917515" t="s">
        <v>9</v>
      </c>
    </row>
    <row r="917516" spans="1:1" x14ac:dyDescent="0.2">
      <c r="A917516" t="s">
        <v>10</v>
      </c>
    </row>
    <row r="917517" spans="1:1" x14ac:dyDescent="0.2">
      <c r="A917517" t="s">
        <v>11</v>
      </c>
    </row>
    <row r="917518" spans="1:1" x14ac:dyDescent="0.2">
      <c r="A917518" t="s">
        <v>12</v>
      </c>
    </row>
    <row r="917519" spans="1:1" x14ac:dyDescent="0.2">
      <c r="A917519" t="s">
        <v>13</v>
      </c>
    </row>
    <row r="917520" spans="1:1" x14ac:dyDescent="0.2">
      <c r="A917520" t="s">
        <v>14</v>
      </c>
    </row>
    <row r="917521" spans="1:1" x14ac:dyDescent="0.2">
      <c r="A917521" t="s">
        <v>15</v>
      </c>
    </row>
    <row r="917522" spans="1:1" x14ac:dyDescent="0.2">
      <c r="A917522" t="s">
        <v>16</v>
      </c>
    </row>
    <row r="917523" spans="1:1" x14ac:dyDescent="0.2">
      <c r="A917523" t="s">
        <v>17</v>
      </c>
    </row>
    <row r="917524" spans="1:1" x14ac:dyDescent="0.2">
      <c r="A917524" t="s">
        <v>18</v>
      </c>
    </row>
    <row r="917525" spans="1:1" x14ac:dyDescent="0.2">
      <c r="A917525" t="s">
        <v>19</v>
      </c>
    </row>
    <row r="917526" spans="1:1" x14ac:dyDescent="0.2">
      <c r="A917526" t="s">
        <v>20</v>
      </c>
    </row>
    <row r="917527" spans="1:1" x14ac:dyDescent="0.2">
      <c r="A917527" t="s">
        <v>21</v>
      </c>
    </row>
    <row r="917528" spans="1:1" x14ac:dyDescent="0.2">
      <c r="A917528" t="s">
        <v>22</v>
      </c>
    </row>
    <row r="917529" spans="1:1" x14ac:dyDescent="0.2">
      <c r="A917529" t="s">
        <v>23</v>
      </c>
    </row>
    <row r="917530" spans="1:1" x14ac:dyDescent="0.2">
      <c r="A917530" t="s">
        <v>24</v>
      </c>
    </row>
    <row r="917531" spans="1:1" x14ac:dyDescent="0.2">
      <c r="A917531" t="s">
        <v>25</v>
      </c>
    </row>
    <row r="917532" spans="1:1" x14ac:dyDescent="0.2">
      <c r="A917532" t="s">
        <v>26</v>
      </c>
    </row>
    <row r="917533" spans="1:1" x14ac:dyDescent="0.2">
      <c r="A917533" t="s">
        <v>27</v>
      </c>
    </row>
    <row r="917534" spans="1:1" x14ac:dyDescent="0.2">
      <c r="A917534" t="s">
        <v>28</v>
      </c>
    </row>
    <row r="917535" spans="1:1" x14ac:dyDescent="0.2">
      <c r="A917535" t="s">
        <v>29</v>
      </c>
    </row>
    <row r="917536" spans="1:1" x14ac:dyDescent="0.2">
      <c r="A917536" t="s">
        <v>30</v>
      </c>
    </row>
    <row r="917537" spans="1:1" x14ac:dyDescent="0.2">
      <c r="A917537" t="s">
        <v>31</v>
      </c>
    </row>
    <row r="917538" spans="1:1" x14ac:dyDescent="0.2">
      <c r="A917538" t="s">
        <v>32</v>
      </c>
    </row>
    <row r="933890" spans="1:1" x14ac:dyDescent="0.2">
      <c r="A933890" t="s">
        <v>0</v>
      </c>
    </row>
    <row r="933891" spans="1:1" x14ac:dyDescent="0.2">
      <c r="A933891" t="s">
        <v>1</v>
      </c>
    </row>
    <row r="933892" spans="1:1" x14ac:dyDescent="0.2">
      <c r="A933892" t="s">
        <v>2</v>
      </c>
    </row>
    <row r="933893" spans="1:1" x14ac:dyDescent="0.2">
      <c r="A933893" t="s">
        <v>3</v>
      </c>
    </row>
    <row r="933894" spans="1:1" x14ac:dyDescent="0.2">
      <c r="A933894" t="s">
        <v>4</v>
      </c>
    </row>
    <row r="933895" spans="1:1" x14ac:dyDescent="0.2">
      <c r="A933895" t="s">
        <v>5</v>
      </c>
    </row>
    <row r="933896" spans="1:1" x14ac:dyDescent="0.2">
      <c r="A933896" t="s">
        <v>6</v>
      </c>
    </row>
    <row r="933897" spans="1:1" x14ac:dyDescent="0.2">
      <c r="A933897" t="s">
        <v>7</v>
      </c>
    </row>
    <row r="933898" spans="1:1" x14ac:dyDescent="0.2">
      <c r="A933898" t="s">
        <v>8</v>
      </c>
    </row>
    <row r="933899" spans="1:1" x14ac:dyDescent="0.2">
      <c r="A933899" t="s">
        <v>9</v>
      </c>
    </row>
    <row r="933900" spans="1:1" x14ac:dyDescent="0.2">
      <c r="A933900" t="s">
        <v>10</v>
      </c>
    </row>
    <row r="933901" spans="1:1" x14ac:dyDescent="0.2">
      <c r="A933901" t="s">
        <v>11</v>
      </c>
    </row>
    <row r="933902" spans="1:1" x14ac:dyDescent="0.2">
      <c r="A933902" t="s">
        <v>12</v>
      </c>
    </row>
    <row r="933903" spans="1:1" x14ac:dyDescent="0.2">
      <c r="A933903" t="s">
        <v>13</v>
      </c>
    </row>
    <row r="933904" spans="1:1" x14ac:dyDescent="0.2">
      <c r="A933904" t="s">
        <v>14</v>
      </c>
    </row>
    <row r="933905" spans="1:1" x14ac:dyDescent="0.2">
      <c r="A933905" t="s">
        <v>15</v>
      </c>
    </row>
    <row r="933906" spans="1:1" x14ac:dyDescent="0.2">
      <c r="A933906" t="s">
        <v>16</v>
      </c>
    </row>
    <row r="933907" spans="1:1" x14ac:dyDescent="0.2">
      <c r="A933907" t="s">
        <v>17</v>
      </c>
    </row>
    <row r="933908" spans="1:1" x14ac:dyDescent="0.2">
      <c r="A933908" t="s">
        <v>18</v>
      </c>
    </row>
    <row r="933909" spans="1:1" x14ac:dyDescent="0.2">
      <c r="A933909" t="s">
        <v>19</v>
      </c>
    </row>
    <row r="933910" spans="1:1" x14ac:dyDescent="0.2">
      <c r="A933910" t="s">
        <v>20</v>
      </c>
    </row>
    <row r="933911" spans="1:1" x14ac:dyDescent="0.2">
      <c r="A933911" t="s">
        <v>21</v>
      </c>
    </row>
    <row r="933912" spans="1:1" x14ac:dyDescent="0.2">
      <c r="A933912" t="s">
        <v>22</v>
      </c>
    </row>
    <row r="933913" spans="1:1" x14ac:dyDescent="0.2">
      <c r="A933913" t="s">
        <v>23</v>
      </c>
    </row>
    <row r="933914" spans="1:1" x14ac:dyDescent="0.2">
      <c r="A933914" t="s">
        <v>24</v>
      </c>
    </row>
    <row r="933915" spans="1:1" x14ac:dyDescent="0.2">
      <c r="A933915" t="s">
        <v>25</v>
      </c>
    </row>
    <row r="933916" spans="1:1" x14ac:dyDescent="0.2">
      <c r="A933916" t="s">
        <v>26</v>
      </c>
    </row>
    <row r="933917" spans="1:1" x14ac:dyDescent="0.2">
      <c r="A933917" t="s">
        <v>27</v>
      </c>
    </row>
    <row r="933918" spans="1:1" x14ac:dyDescent="0.2">
      <c r="A933918" t="s">
        <v>28</v>
      </c>
    </row>
    <row r="933919" spans="1:1" x14ac:dyDescent="0.2">
      <c r="A933919" t="s">
        <v>29</v>
      </c>
    </row>
    <row r="933920" spans="1:1" x14ac:dyDescent="0.2">
      <c r="A933920" t="s">
        <v>30</v>
      </c>
    </row>
    <row r="933921" spans="1:1" x14ac:dyDescent="0.2">
      <c r="A933921" t="s">
        <v>31</v>
      </c>
    </row>
    <row r="933922" spans="1:1" x14ac:dyDescent="0.2">
      <c r="A933922" t="s">
        <v>32</v>
      </c>
    </row>
    <row r="950274" spans="1:1" x14ac:dyDescent="0.2">
      <c r="A950274" t="s">
        <v>0</v>
      </c>
    </row>
    <row r="950275" spans="1:1" x14ac:dyDescent="0.2">
      <c r="A950275" t="s">
        <v>1</v>
      </c>
    </row>
    <row r="950276" spans="1:1" x14ac:dyDescent="0.2">
      <c r="A950276" t="s">
        <v>2</v>
      </c>
    </row>
    <row r="950277" spans="1:1" x14ac:dyDescent="0.2">
      <c r="A950277" t="s">
        <v>3</v>
      </c>
    </row>
    <row r="950278" spans="1:1" x14ac:dyDescent="0.2">
      <c r="A950278" t="s">
        <v>4</v>
      </c>
    </row>
    <row r="950279" spans="1:1" x14ac:dyDescent="0.2">
      <c r="A950279" t="s">
        <v>5</v>
      </c>
    </row>
    <row r="950280" spans="1:1" x14ac:dyDescent="0.2">
      <c r="A950280" t="s">
        <v>6</v>
      </c>
    </row>
    <row r="950281" spans="1:1" x14ac:dyDescent="0.2">
      <c r="A950281" t="s">
        <v>7</v>
      </c>
    </row>
    <row r="950282" spans="1:1" x14ac:dyDescent="0.2">
      <c r="A950282" t="s">
        <v>8</v>
      </c>
    </row>
    <row r="950283" spans="1:1" x14ac:dyDescent="0.2">
      <c r="A950283" t="s">
        <v>9</v>
      </c>
    </row>
    <row r="950284" spans="1:1" x14ac:dyDescent="0.2">
      <c r="A950284" t="s">
        <v>10</v>
      </c>
    </row>
    <row r="950285" spans="1:1" x14ac:dyDescent="0.2">
      <c r="A950285" t="s">
        <v>11</v>
      </c>
    </row>
    <row r="950286" spans="1:1" x14ac:dyDescent="0.2">
      <c r="A950286" t="s">
        <v>12</v>
      </c>
    </row>
    <row r="950287" spans="1:1" x14ac:dyDescent="0.2">
      <c r="A950287" t="s">
        <v>13</v>
      </c>
    </row>
    <row r="950288" spans="1:1" x14ac:dyDescent="0.2">
      <c r="A950288" t="s">
        <v>14</v>
      </c>
    </row>
    <row r="950289" spans="1:1" x14ac:dyDescent="0.2">
      <c r="A950289" t="s">
        <v>15</v>
      </c>
    </row>
    <row r="950290" spans="1:1" x14ac:dyDescent="0.2">
      <c r="A950290" t="s">
        <v>16</v>
      </c>
    </row>
    <row r="950291" spans="1:1" x14ac:dyDescent="0.2">
      <c r="A950291" t="s">
        <v>17</v>
      </c>
    </row>
    <row r="950292" spans="1:1" x14ac:dyDescent="0.2">
      <c r="A950292" t="s">
        <v>18</v>
      </c>
    </row>
    <row r="950293" spans="1:1" x14ac:dyDescent="0.2">
      <c r="A950293" t="s">
        <v>19</v>
      </c>
    </row>
    <row r="950294" spans="1:1" x14ac:dyDescent="0.2">
      <c r="A950294" t="s">
        <v>20</v>
      </c>
    </row>
    <row r="950295" spans="1:1" x14ac:dyDescent="0.2">
      <c r="A950295" t="s">
        <v>21</v>
      </c>
    </row>
    <row r="950296" spans="1:1" x14ac:dyDescent="0.2">
      <c r="A950296" t="s">
        <v>22</v>
      </c>
    </row>
    <row r="950297" spans="1:1" x14ac:dyDescent="0.2">
      <c r="A950297" t="s">
        <v>23</v>
      </c>
    </row>
    <row r="950298" spans="1:1" x14ac:dyDescent="0.2">
      <c r="A950298" t="s">
        <v>24</v>
      </c>
    </row>
    <row r="950299" spans="1:1" x14ac:dyDescent="0.2">
      <c r="A950299" t="s">
        <v>25</v>
      </c>
    </row>
    <row r="950300" spans="1:1" x14ac:dyDescent="0.2">
      <c r="A950300" t="s">
        <v>26</v>
      </c>
    </row>
    <row r="950301" spans="1:1" x14ac:dyDescent="0.2">
      <c r="A950301" t="s">
        <v>27</v>
      </c>
    </row>
    <row r="950302" spans="1:1" x14ac:dyDescent="0.2">
      <c r="A950302" t="s">
        <v>28</v>
      </c>
    </row>
    <row r="950303" spans="1:1" x14ac:dyDescent="0.2">
      <c r="A950303" t="s">
        <v>29</v>
      </c>
    </row>
    <row r="950304" spans="1:1" x14ac:dyDescent="0.2">
      <c r="A950304" t="s">
        <v>30</v>
      </c>
    </row>
    <row r="950305" spans="1:1" x14ac:dyDescent="0.2">
      <c r="A950305" t="s">
        <v>31</v>
      </c>
    </row>
    <row r="950306" spans="1:1" x14ac:dyDescent="0.2">
      <c r="A950306" t="s">
        <v>32</v>
      </c>
    </row>
    <row r="966658" spans="1:1" x14ac:dyDescent="0.2">
      <c r="A966658" t="s">
        <v>0</v>
      </c>
    </row>
    <row r="966659" spans="1:1" x14ac:dyDescent="0.2">
      <c r="A966659" t="s">
        <v>1</v>
      </c>
    </row>
    <row r="966660" spans="1:1" x14ac:dyDescent="0.2">
      <c r="A966660" t="s">
        <v>2</v>
      </c>
    </row>
    <row r="966661" spans="1:1" x14ac:dyDescent="0.2">
      <c r="A966661" t="s">
        <v>3</v>
      </c>
    </row>
    <row r="966662" spans="1:1" x14ac:dyDescent="0.2">
      <c r="A966662" t="s">
        <v>4</v>
      </c>
    </row>
    <row r="966663" spans="1:1" x14ac:dyDescent="0.2">
      <c r="A966663" t="s">
        <v>5</v>
      </c>
    </row>
    <row r="966664" spans="1:1" x14ac:dyDescent="0.2">
      <c r="A966664" t="s">
        <v>6</v>
      </c>
    </row>
    <row r="966665" spans="1:1" x14ac:dyDescent="0.2">
      <c r="A966665" t="s">
        <v>7</v>
      </c>
    </row>
    <row r="966666" spans="1:1" x14ac:dyDescent="0.2">
      <c r="A966666" t="s">
        <v>8</v>
      </c>
    </row>
    <row r="966667" spans="1:1" x14ac:dyDescent="0.2">
      <c r="A966667" t="s">
        <v>9</v>
      </c>
    </row>
    <row r="966668" spans="1:1" x14ac:dyDescent="0.2">
      <c r="A966668" t="s">
        <v>10</v>
      </c>
    </row>
    <row r="966669" spans="1:1" x14ac:dyDescent="0.2">
      <c r="A966669" t="s">
        <v>11</v>
      </c>
    </row>
    <row r="966670" spans="1:1" x14ac:dyDescent="0.2">
      <c r="A966670" t="s">
        <v>12</v>
      </c>
    </row>
    <row r="966671" spans="1:1" x14ac:dyDescent="0.2">
      <c r="A966671" t="s">
        <v>13</v>
      </c>
    </row>
    <row r="966672" spans="1:1" x14ac:dyDescent="0.2">
      <c r="A966672" t="s">
        <v>14</v>
      </c>
    </row>
    <row r="966673" spans="1:1" x14ac:dyDescent="0.2">
      <c r="A966673" t="s">
        <v>15</v>
      </c>
    </row>
    <row r="966674" spans="1:1" x14ac:dyDescent="0.2">
      <c r="A966674" t="s">
        <v>16</v>
      </c>
    </row>
    <row r="966675" spans="1:1" x14ac:dyDescent="0.2">
      <c r="A966675" t="s">
        <v>17</v>
      </c>
    </row>
    <row r="966676" spans="1:1" x14ac:dyDescent="0.2">
      <c r="A966676" t="s">
        <v>18</v>
      </c>
    </row>
    <row r="966677" spans="1:1" x14ac:dyDescent="0.2">
      <c r="A966677" t="s">
        <v>19</v>
      </c>
    </row>
    <row r="966678" spans="1:1" x14ac:dyDescent="0.2">
      <c r="A966678" t="s">
        <v>20</v>
      </c>
    </row>
    <row r="966679" spans="1:1" x14ac:dyDescent="0.2">
      <c r="A966679" t="s">
        <v>21</v>
      </c>
    </row>
    <row r="966680" spans="1:1" x14ac:dyDescent="0.2">
      <c r="A966680" t="s">
        <v>22</v>
      </c>
    </row>
    <row r="966681" spans="1:1" x14ac:dyDescent="0.2">
      <c r="A966681" t="s">
        <v>23</v>
      </c>
    </row>
    <row r="966682" spans="1:1" x14ac:dyDescent="0.2">
      <c r="A966682" t="s">
        <v>24</v>
      </c>
    </row>
    <row r="966683" spans="1:1" x14ac:dyDescent="0.2">
      <c r="A966683" t="s">
        <v>25</v>
      </c>
    </row>
    <row r="966684" spans="1:1" x14ac:dyDescent="0.2">
      <c r="A966684" t="s">
        <v>26</v>
      </c>
    </row>
    <row r="966685" spans="1:1" x14ac:dyDescent="0.2">
      <c r="A966685" t="s">
        <v>27</v>
      </c>
    </row>
    <row r="966686" spans="1:1" x14ac:dyDescent="0.2">
      <c r="A966686" t="s">
        <v>28</v>
      </c>
    </row>
    <row r="966687" spans="1:1" x14ac:dyDescent="0.2">
      <c r="A966687" t="s">
        <v>29</v>
      </c>
    </row>
    <row r="966688" spans="1:1" x14ac:dyDescent="0.2">
      <c r="A966688" t="s">
        <v>30</v>
      </c>
    </row>
    <row r="966689" spans="1:1" x14ac:dyDescent="0.2">
      <c r="A966689" t="s">
        <v>31</v>
      </c>
    </row>
    <row r="966690" spans="1:1" x14ac:dyDescent="0.2">
      <c r="A966690" t="s">
        <v>32</v>
      </c>
    </row>
    <row r="983042" spans="1:1" x14ac:dyDescent="0.2">
      <c r="A983042" t="s">
        <v>0</v>
      </c>
    </row>
    <row r="983043" spans="1:1" x14ac:dyDescent="0.2">
      <c r="A983043" t="s">
        <v>1</v>
      </c>
    </row>
    <row r="983044" spans="1:1" x14ac:dyDescent="0.2">
      <c r="A983044" t="s">
        <v>2</v>
      </c>
    </row>
    <row r="983045" spans="1:1" x14ac:dyDescent="0.2">
      <c r="A983045" t="s">
        <v>3</v>
      </c>
    </row>
    <row r="983046" spans="1:1" x14ac:dyDescent="0.2">
      <c r="A983046" t="s">
        <v>4</v>
      </c>
    </row>
    <row r="983047" spans="1:1" x14ac:dyDescent="0.2">
      <c r="A983047" t="s">
        <v>5</v>
      </c>
    </row>
    <row r="983048" spans="1:1" x14ac:dyDescent="0.2">
      <c r="A983048" t="s">
        <v>6</v>
      </c>
    </row>
    <row r="983049" spans="1:1" x14ac:dyDescent="0.2">
      <c r="A983049" t="s">
        <v>7</v>
      </c>
    </row>
    <row r="983050" spans="1:1" x14ac:dyDescent="0.2">
      <c r="A983050" t="s">
        <v>8</v>
      </c>
    </row>
    <row r="983051" spans="1:1" x14ac:dyDescent="0.2">
      <c r="A983051" t="s">
        <v>9</v>
      </c>
    </row>
    <row r="983052" spans="1:1" x14ac:dyDescent="0.2">
      <c r="A983052" t="s">
        <v>10</v>
      </c>
    </row>
    <row r="983053" spans="1:1" x14ac:dyDescent="0.2">
      <c r="A983053" t="s">
        <v>11</v>
      </c>
    </row>
    <row r="983054" spans="1:1" x14ac:dyDescent="0.2">
      <c r="A983054" t="s">
        <v>12</v>
      </c>
    </row>
    <row r="983055" spans="1:1" x14ac:dyDescent="0.2">
      <c r="A983055" t="s">
        <v>13</v>
      </c>
    </row>
    <row r="983056" spans="1:1" x14ac:dyDescent="0.2">
      <c r="A983056" t="s">
        <v>14</v>
      </c>
    </row>
    <row r="983057" spans="1:1" x14ac:dyDescent="0.2">
      <c r="A983057" t="s">
        <v>15</v>
      </c>
    </row>
    <row r="983058" spans="1:1" x14ac:dyDescent="0.2">
      <c r="A983058" t="s">
        <v>16</v>
      </c>
    </row>
    <row r="983059" spans="1:1" x14ac:dyDescent="0.2">
      <c r="A983059" t="s">
        <v>17</v>
      </c>
    </row>
    <row r="983060" spans="1:1" x14ac:dyDescent="0.2">
      <c r="A983060" t="s">
        <v>18</v>
      </c>
    </row>
    <row r="983061" spans="1:1" x14ac:dyDescent="0.2">
      <c r="A983061" t="s">
        <v>19</v>
      </c>
    </row>
    <row r="983062" spans="1:1" x14ac:dyDescent="0.2">
      <c r="A983062" t="s">
        <v>20</v>
      </c>
    </row>
    <row r="983063" spans="1:1" x14ac:dyDescent="0.2">
      <c r="A983063" t="s">
        <v>21</v>
      </c>
    </row>
    <row r="983064" spans="1:1" x14ac:dyDescent="0.2">
      <c r="A983064" t="s">
        <v>22</v>
      </c>
    </row>
    <row r="983065" spans="1:1" x14ac:dyDescent="0.2">
      <c r="A983065" t="s">
        <v>23</v>
      </c>
    </row>
    <row r="983066" spans="1:1" x14ac:dyDescent="0.2">
      <c r="A983066" t="s">
        <v>24</v>
      </c>
    </row>
    <row r="983067" spans="1:1" x14ac:dyDescent="0.2">
      <c r="A983067" t="s">
        <v>25</v>
      </c>
    </row>
    <row r="983068" spans="1:1" x14ac:dyDescent="0.2">
      <c r="A983068" t="s">
        <v>26</v>
      </c>
    </row>
    <row r="983069" spans="1:1" x14ac:dyDescent="0.2">
      <c r="A983069" t="s">
        <v>27</v>
      </c>
    </row>
    <row r="983070" spans="1:1" x14ac:dyDescent="0.2">
      <c r="A983070" t="s">
        <v>28</v>
      </c>
    </row>
    <row r="983071" spans="1:1" x14ac:dyDescent="0.2">
      <c r="A983071" t="s">
        <v>29</v>
      </c>
    </row>
    <row r="983072" spans="1:1" x14ac:dyDescent="0.2">
      <c r="A983072" t="s">
        <v>30</v>
      </c>
    </row>
    <row r="983073" spans="1:1" x14ac:dyDescent="0.2">
      <c r="A983073" t="s">
        <v>31</v>
      </c>
    </row>
    <row r="983074" spans="1:1" x14ac:dyDescent="0.2">
      <c r="A983074" t="s">
        <v>32</v>
      </c>
    </row>
    <row r="999426" spans="1:1" x14ac:dyDescent="0.2">
      <c r="A999426" t="s">
        <v>0</v>
      </c>
    </row>
    <row r="999427" spans="1:1" x14ac:dyDescent="0.2">
      <c r="A999427" t="s">
        <v>1</v>
      </c>
    </row>
    <row r="999428" spans="1:1" x14ac:dyDescent="0.2">
      <c r="A999428" t="s">
        <v>2</v>
      </c>
    </row>
    <row r="999429" spans="1:1" x14ac:dyDescent="0.2">
      <c r="A999429" t="s">
        <v>3</v>
      </c>
    </row>
    <row r="999430" spans="1:1" x14ac:dyDescent="0.2">
      <c r="A999430" t="s">
        <v>4</v>
      </c>
    </row>
    <row r="999431" spans="1:1" x14ac:dyDescent="0.2">
      <c r="A999431" t="s">
        <v>5</v>
      </c>
    </row>
    <row r="999432" spans="1:1" x14ac:dyDescent="0.2">
      <c r="A999432" t="s">
        <v>6</v>
      </c>
    </row>
    <row r="999433" spans="1:1" x14ac:dyDescent="0.2">
      <c r="A999433" t="s">
        <v>7</v>
      </c>
    </row>
    <row r="999434" spans="1:1" x14ac:dyDescent="0.2">
      <c r="A999434" t="s">
        <v>8</v>
      </c>
    </row>
    <row r="999435" spans="1:1" x14ac:dyDescent="0.2">
      <c r="A999435" t="s">
        <v>9</v>
      </c>
    </row>
    <row r="999436" spans="1:1" x14ac:dyDescent="0.2">
      <c r="A999436" t="s">
        <v>10</v>
      </c>
    </row>
    <row r="999437" spans="1:1" x14ac:dyDescent="0.2">
      <c r="A999437" t="s">
        <v>11</v>
      </c>
    </row>
    <row r="999438" spans="1:1" x14ac:dyDescent="0.2">
      <c r="A999438" t="s">
        <v>12</v>
      </c>
    </row>
    <row r="999439" spans="1:1" x14ac:dyDescent="0.2">
      <c r="A999439" t="s">
        <v>13</v>
      </c>
    </row>
    <row r="999440" spans="1:1" x14ac:dyDescent="0.2">
      <c r="A999440" t="s">
        <v>14</v>
      </c>
    </row>
    <row r="999441" spans="1:1" x14ac:dyDescent="0.2">
      <c r="A999441" t="s">
        <v>15</v>
      </c>
    </row>
    <row r="999442" spans="1:1" x14ac:dyDescent="0.2">
      <c r="A999442" t="s">
        <v>16</v>
      </c>
    </row>
    <row r="999443" spans="1:1" x14ac:dyDescent="0.2">
      <c r="A999443" t="s">
        <v>17</v>
      </c>
    </row>
    <row r="999444" spans="1:1" x14ac:dyDescent="0.2">
      <c r="A999444" t="s">
        <v>18</v>
      </c>
    </row>
    <row r="999445" spans="1:1" x14ac:dyDescent="0.2">
      <c r="A999445" t="s">
        <v>19</v>
      </c>
    </row>
    <row r="999446" spans="1:1" x14ac:dyDescent="0.2">
      <c r="A999446" t="s">
        <v>20</v>
      </c>
    </row>
    <row r="999447" spans="1:1" x14ac:dyDescent="0.2">
      <c r="A999447" t="s">
        <v>21</v>
      </c>
    </row>
    <row r="999448" spans="1:1" x14ac:dyDescent="0.2">
      <c r="A999448" t="s">
        <v>22</v>
      </c>
    </row>
    <row r="999449" spans="1:1" x14ac:dyDescent="0.2">
      <c r="A999449" t="s">
        <v>23</v>
      </c>
    </row>
    <row r="999450" spans="1:1" x14ac:dyDescent="0.2">
      <c r="A999450" t="s">
        <v>24</v>
      </c>
    </row>
    <row r="999451" spans="1:1" x14ac:dyDescent="0.2">
      <c r="A999451" t="s">
        <v>25</v>
      </c>
    </row>
    <row r="999452" spans="1:1" x14ac:dyDescent="0.2">
      <c r="A999452" t="s">
        <v>26</v>
      </c>
    </row>
    <row r="999453" spans="1:1" x14ac:dyDescent="0.2">
      <c r="A999453" t="s">
        <v>27</v>
      </c>
    </row>
    <row r="999454" spans="1:1" x14ac:dyDescent="0.2">
      <c r="A999454" t="s">
        <v>28</v>
      </c>
    </row>
    <row r="999455" spans="1:1" x14ac:dyDescent="0.2">
      <c r="A999455" t="s">
        <v>29</v>
      </c>
    </row>
    <row r="999456" spans="1:1" x14ac:dyDescent="0.2">
      <c r="A999456" t="s">
        <v>30</v>
      </c>
    </row>
    <row r="999457" spans="1:1" x14ac:dyDescent="0.2">
      <c r="A999457" t="s">
        <v>31</v>
      </c>
    </row>
    <row r="999458" spans="1:1" x14ac:dyDescent="0.2">
      <c r="A999458" t="s">
        <v>32</v>
      </c>
    </row>
    <row r="1015810" spans="1:1" x14ac:dyDescent="0.2">
      <c r="A1015810" t="s">
        <v>0</v>
      </c>
    </row>
    <row r="1015811" spans="1:1" x14ac:dyDescent="0.2">
      <c r="A1015811" t="s">
        <v>1</v>
      </c>
    </row>
    <row r="1015812" spans="1:1" x14ac:dyDescent="0.2">
      <c r="A1015812" t="s">
        <v>2</v>
      </c>
    </row>
    <row r="1015813" spans="1:1" x14ac:dyDescent="0.2">
      <c r="A1015813" t="s">
        <v>3</v>
      </c>
    </row>
    <row r="1015814" spans="1:1" x14ac:dyDescent="0.2">
      <c r="A1015814" t="s">
        <v>4</v>
      </c>
    </row>
    <row r="1015815" spans="1:1" x14ac:dyDescent="0.2">
      <c r="A1015815" t="s">
        <v>5</v>
      </c>
    </row>
    <row r="1015816" spans="1:1" x14ac:dyDescent="0.2">
      <c r="A1015816" t="s">
        <v>6</v>
      </c>
    </row>
    <row r="1015817" spans="1:1" x14ac:dyDescent="0.2">
      <c r="A1015817" t="s">
        <v>7</v>
      </c>
    </row>
    <row r="1015818" spans="1:1" x14ac:dyDescent="0.2">
      <c r="A1015818" t="s">
        <v>8</v>
      </c>
    </row>
    <row r="1015819" spans="1:1" x14ac:dyDescent="0.2">
      <c r="A1015819" t="s">
        <v>9</v>
      </c>
    </row>
    <row r="1015820" spans="1:1" x14ac:dyDescent="0.2">
      <c r="A1015820" t="s">
        <v>10</v>
      </c>
    </row>
    <row r="1015821" spans="1:1" x14ac:dyDescent="0.2">
      <c r="A1015821" t="s">
        <v>11</v>
      </c>
    </row>
    <row r="1015822" spans="1:1" x14ac:dyDescent="0.2">
      <c r="A1015822" t="s">
        <v>12</v>
      </c>
    </row>
    <row r="1015823" spans="1:1" x14ac:dyDescent="0.2">
      <c r="A1015823" t="s">
        <v>13</v>
      </c>
    </row>
    <row r="1015824" spans="1:1" x14ac:dyDescent="0.2">
      <c r="A1015824" t="s">
        <v>14</v>
      </c>
    </row>
    <row r="1015825" spans="1:1" x14ac:dyDescent="0.2">
      <c r="A1015825" t="s">
        <v>15</v>
      </c>
    </row>
    <row r="1015826" spans="1:1" x14ac:dyDescent="0.2">
      <c r="A1015826" t="s">
        <v>16</v>
      </c>
    </row>
    <row r="1015827" spans="1:1" x14ac:dyDescent="0.2">
      <c r="A1015827" t="s">
        <v>17</v>
      </c>
    </row>
    <row r="1015828" spans="1:1" x14ac:dyDescent="0.2">
      <c r="A1015828" t="s">
        <v>18</v>
      </c>
    </row>
    <row r="1015829" spans="1:1" x14ac:dyDescent="0.2">
      <c r="A1015829" t="s">
        <v>19</v>
      </c>
    </row>
    <row r="1015830" spans="1:1" x14ac:dyDescent="0.2">
      <c r="A1015830" t="s">
        <v>20</v>
      </c>
    </row>
    <row r="1015831" spans="1:1" x14ac:dyDescent="0.2">
      <c r="A1015831" t="s">
        <v>21</v>
      </c>
    </row>
    <row r="1015832" spans="1:1" x14ac:dyDescent="0.2">
      <c r="A1015832" t="s">
        <v>22</v>
      </c>
    </row>
    <row r="1015833" spans="1:1" x14ac:dyDescent="0.2">
      <c r="A1015833" t="s">
        <v>23</v>
      </c>
    </row>
    <row r="1015834" spans="1:1" x14ac:dyDescent="0.2">
      <c r="A1015834" t="s">
        <v>24</v>
      </c>
    </row>
    <row r="1015835" spans="1:1" x14ac:dyDescent="0.2">
      <c r="A1015835" t="s">
        <v>25</v>
      </c>
    </row>
    <row r="1015836" spans="1:1" x14ac:dyDescent="0.2">
      <c r="A1015836" t="s">
        <v>26</v>
      </c>
    </row>
    <row r="1015837" spans="1:1" x14ac:dyDescent="0.2">
      <c r="A1015837" t="s">
        <v>27</v>
      </c>
    </row>
    <row r="1015838" spans="1:1" x14ac:dyDescent="0.2">
      <c r="A1015838" t="s">
        <v>28</v>
      </c>
    </row>
    <row r="1015839" spans="1:1" x14ac:dyDescent="0.2">
      <c r="A1015839" t="s">
        <v>29</v>
      </c>
    </row>
    <row r="1015840" spans="1:1" x14ac:dyDescent="0.2">
      <c r="A1015840" t="s">
        <v>30</v>
      </c>
    </row>
    <row r="1015841" spans="1:1" x14ac:dyDescent="0.2">
      <c r="A1015841" t="s">
        <v>31</v>
      </c>
    </row>
    <row r="1015842" spans="1:1" x14ac:dyDescent="0.2">
      <c r="A1015842" t="s">
        <v>32</v>
      </c>
    </row>
    <row r="1032194" spans="1:1" x14ac:dyDescent="0.2">
      <c r="A1032194" t="s">
        <v>0</v>
      </c>
    </row>
    <row r="1032195" spans="1:1" x14ac:dyDescent="0.2">
      <c r="A1032195" t="s">
        <v>1</v>
      </c>
    </row>
    <row r="1032196" spans="1:1" x14ac:dyDescent="0.2">
      <c r="A1032196" t="s">
        <v>2</v>
      </c>
    </row>
    <row r="1032197" spans="1:1" x14ac:dyDescent="0.2">
      <c r="A1032197" t="s">
        <v>3</v>
      </c>
    </row>
    <row r="1032198" spans="1:1" x14ac:dyDescent="0.2">
      <c r="A1032198" t="s">
        <v>4</v>
      </c>
    </row>
    <row r="1032199" spans="1:1" x14ac:dyDescent="0.2">
      <c r="A1032199" t="s">
        <v>5</v>
      </c>
    </row>
    <row r="1032200" spans="1:1" x14ac:dyDescent="0.2">
      <c r="A1032200" t="s">
        <v>6</v>
      </c>
    </row>
    <row r="1032201" spans="1:1" x14ac:dyDescent="0.2">
      <c r="A1032201" t="s">
        <v>7</v>
      </c>
    </row>
    <row r="1032202" spans="1:1" x14ac:dyDescent="0.2">
      <c r="A1032202" t="s">
        <v>8</v>
      </c>
    </row>
    <row r="1032203" spans="1:1" x14ac:dyDescent="0.2">
      <c r="A1032203" t="s">
        <v>9</v>
      </c>
    </row>
    <row r="1032204" spans="1:1" x14ac:dyDescent="0.2">
      <c r="A1032204" t="s">
        <v>10</v>
      </c>
    </row>
    <row r="1032205" spans="1:1" x14ac:dyDescent="0.2">
      <c r="A1032205" t="s">
        <v>11</v>
      </c>
    </row>
    <row r="1032206" spans="1:1" x14ac:dyDescent="0.2">
      <c r="A1032206" t="s">
        <v>12</v>
      </c>
    </row>
    <row r="1032207" spans="1:1" x14ac:dyDescent="0.2">
      <c r="A1032207" t="s">
        <v>13</v>
      </c>
    </row>
    <row r="1032208" spans="1:1" x14ac:dyDescent="0.2">
      <c r="A1032208" t="s">
        <v>14</v>
      </c>
    </row>
    <row r="1032209" spans="1:1" x14ac:dyDescent="0.2">
      <c r="A1032209" t="s">
        <v>15</v>
      </c>
    </row>
    <row r="1032210" spans="1:1" x14ac:dyDescent="0.2">
      <c r="A1032210" t="s">
        <v>16</v>
      </c>
    </row>
    <row r="1032211" spans="1:1" x14ac:dyDescent="0.2">
      <c r="A1032211" t="s">
        <v>17</v>
      </c>
    </row>
    <row r="1032212" spans="1:1" x14ac:dyDescent="0.2">
      <c r="A1032212" t="s">
        <v>18</v>
      </c>
    </row>
    <row r="1032213" spans="1:1" x14ac:dyDescent="0.2">
      <c r="A1032213" t="s">
        <v>19</v>
      </c>
    </row>
    <row r="1032214" spans="1:1" x14ac:dyDescent="0.2">
      <c r="A1032214" t="s">
        <v>20</v>
      </c>
    </row>
    <row r="1032215" spans="1:1" x14ac:dyDescent="0.2">
      <c r="A1032215" t="s">
        <v>21</v>
      </c>
    </row>
    <row r="1032216" spans="1:1" x14ac:dyDescent="0.2">
      <c r="A1032216" t="s">
        <v>22</v>
      </c>
    </row>
    <row r="1032217" spans="1:1" x14ac:dyDescent="0.2">
      <c r="A1032217" t="s">
        <v>23</v>
      </c>
    </row>
    <row r="1032218" spans="1:1" x14ac:dyDescent="0.2">
      <c r="A1032218" t="s">
        <v>24</v>
      </c>
    </row>
    <row r="1032219" spans="1:1" x14ac:dyDescent="0.2">
      <c r="A1032219" t="s">
        <v>25</v>
      </c>
    </row>
    <row r="1032220" spans="1:1" x14ac:dyDescent="0.2">
      <c r="A1032220" t="s">
        <v>26</v>
      </c>
    </row>
    <row r="1032221" spans="1:1" x14ac:dyDescent="0.2">
      <c r="A1032221" t="s">
        <v>27</v>
      </c>
    </row>
    <row r="1032222" spans="1:1" x14ac:dyDescent="0.2">
      <c r="A1032222" t="s">
        <v>28</v>
      </c>
    </row>
    <row r="1032223" spans="1:1" x14ac:dyDescent="0.2">
      <c r="A1032223" t="s">
        <v>29</v>
      </c>
    </row>
    <row r="1032224" spans="1:1" x14ac:dyDescent="0.2">
      <c r="A1032224" t="s">
        <v>30</v>
      </c>
    </row>
    <row r="1032225" spans="1:1" x14ac:dyDescent="0.2">
      <c r="A1032225" t="s">
        <v>31</v>
      </c>
    </row>
    <row r="1032226" spans="1:1" x14ac:dyDescent="0.2">
      <c r="A1032226" t="s">
        <v>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5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2</v>
      </c>
      <c r="B2" t="s">
        <v>33</v>
      </c>
      <c r="C2" t="s">
        <v>45</v>
      </c>
      <c r="D2" t="s">
        <v>46</v>
      </c>
      <c r="G2">
        <v>2.40963846445084E-2</v>
      </c>
      <c r="H2">
        <v>0</v>
      </c>
      <c r="J2">
        <v>0.109907358884811</v>
      </c>
      <c r="K2">
        <v>3.8786269724369098E-2</v>
      </c>
      <c r="L2">
        <v>4</v>
      </c>
      <c r="M2">
        <v>0</v>
      </c>
      <c r="T2">
        <v>1.09991191316383</v>
      </c>
      <c r="U2">
        <v>6</v>
      </c>
      <c r="V2">
        <v>7</v>
      </c>
      <c r="W2" t="s">
        <v>36</v>
      </c>
      <c r="X2" t="s">
        <v>47</v>
      </c>
      <c r="Y2">
        <v>0.84472524999999998</v>
      </c>
      <c r="Z2">
        <v>0.7754183</v>
      </c>
      <c r="AA2">
        <v>0.81007176999999997</v>
      </c>
      <c r="AB2">
        <v>0.65735549999999998</v>
      </c>
      <c r="AC2">
        <v>0.27346176</v>
      </c>
      <c r="AD2">
        <v>0.46540862</v>
      </c>
      <c r="AG2" t="s">
        <v>48</v>
      </c>
    </row>
    <row r="3" spans="1:33" x14ac:dyDescent="0.2">
      <c r="A3">
        <v>4</v>
      </c>
      <c r="B3" t="s">
        <v>49</v>
      </c>
      <c r="C3" t="s">
        <v>55</v>
      </c>
      <c r="D3" t="s">
        <v>42</v>
      </c>
      <c r="E3" t="s">
        <v>56</v>
      </c>
      <c r="F3" t="s">
        <v>57</v>
      </c>
      <c r="G3">
        <v>0</v>
      </c>
      <c r="H3">
        <v>1.6409877687692601E-2</v>
      </c>
      <c r="I3">
        <v>3.8461539894342402E-2</v>
      </c>
      <c r="J3">
        <v>3.4838423132896403E-2</v>
      </c>
      <c r="K3">
        <v>7.5380407273769406E-2</v>
      </c>
      <c r="L3">
        <v>0</v>
      </c>
      <c r="M3">
        <v>1.9035457372665401</v>
      </c>
      <c r="N3">
        <v>0.277175813913345</v>
      </c>
      <c r="O3">
        <v>0.35693383216857899</v>
      </c>
      <c r="P3">
        <v>0.13414020836353299</v>
      </c>
      <c r="Q3">
        <v>1</v>
      </c>
      <c r="R3" t="s">
        <v>58</v>
      </c>
      <c r="S3" t="s">
        <v>39</v>
      </c>
      <c r="T3">
        <v>0.85267570982572205</v>
      </c>
      <c r="U3">
        <v>5</v>
      </c>
      <c r="V3">
        <v>5</v>
      </c>
      <c r="W3" t="s">
        <v>54</v>
      </c>
      <c r="X3" t="s">
        <v>57</v>
      </c>
      <c r="Y3">
        <v>0.71909500000000004</v>
      </c>
      <c r="Z3">
        <v>0.7207131</v>
      </c>
      <c r="AA3">
        <v>0.71990407000000001</v>
      </c>
      <c r="AB3">
        <v>0.53721940000000001</v>
      </c>
      <c r="AC3">
        <v>0.26879975</v>
      </c>
      <c r="AD3">
        <v>0.40300960000000002</v>
      </c>
      <c r="AG3" t="s">
        <v>48</v>
      </c>
    </row>
    <row r="4" spans="1:33" x14ac:dyDescent="0.2">
      <c r="A4">
        <v>6</v>
      </c>
      <c r="B4" t="s">
        <v>62</v>
      </c>
      <c r="C4" t="s">
        <v>63</v>
      </c>
      <c r="D4" t="s">
        <v>35</v>
      </c>
      <c r="E4" t="s">
        <v>64</v>
      </c>
      <c r="F4" t="s">
        <v>65</v>
      </c>
      <c r="G4">
        <v>8.3720929920673398E-2</v>
      </c>
      <c r="H4">
        <v>1.68802961707115E-2</v>
      </c>
      <c r="I4">
        <v>6.3829787075519603E-2</v>
      </c>
      <c r="J4">
        <v>8.7294928729534205E-2</v>
      </c>
      <c r="K4">
        <v>6.27294331789017E-2</v>
      </c>
      <c r="L4">
        <v>18</v>
      </c>
      <c r="M4">
        <v>1.58674788475037</v>
      </c>
      <c r="N4">
        <v>0.43943333625793501</v>
      </c>
      <c r="O4">
        <v>0.22288046777248399</v>
      </c>
      <c r="P4">
        <v>1</v>
      </c>
      <c r="Q4">
        <v>0.26445797085762002</v>
      </c>
      <c r="R4" t="s">
        <v>39</v>
      </c>
      <c r="S4" t="s">
        <v>66</v>
      </c>
      <c r="T4">
        <v>1.09334513474836</v>
      </c>
      <c r="U4">
        <v>6</v>
      </c>
      <c r="V4">
        <v>4</v>
      </c>
      <c r="W4" t="s">
        <v>64</v>
      </c>
      <c r="X4" t="s">
        <v>67</v>
      </c>
      <c r="Y4">
        <v>0.72587246000000005</v>
      </c>
      <c r="Z4">
        <v>0.72057724000000001</v>
      </c>
      <c r="AA4">
        <v>0.72322489999999995</v>
      </c>
      <c r="AB4">
        <v>0.19569644</v>
      </c>
      <c r="AC4">
        <v>0.37188696999999998</v>
      </c>
      <c r="AD4">
        <v>0.28379172000000003</v>
      </c>
      <c r="AG4" t="s">
        <v>48</v>
      </c>
    </row>
    <row r="5" spans="1:33" x14ac:dyDescent="0.2">
      <c r="A5">
        <v>14</v>
      </c>
      <c r="B5" t="s">
        <v>90</v>
      </c>
      <c r="C5" t="s">
        <v>100</v>
      </c>
      <c r="D5" t="s">
        <v>46</v>
      </c>
      <c r="G5">
        <v>3.1872510910034201E-2</v>
      </c>
      <c r="H5">
        <v>0</v>
      </c>
      <c r="J5">
        <v>0.103249222040176</v>
      </c>
      <c r="K5">
        <v>1.31000000983477E-2</v>
      </c>
      <c r="L5">
        <v>8</v>
      </c>
      <c r="M5">
        <v>0</v>
      </c>
      <c r="T5">
        <v>1.3420434166556501</v>
      </c>
      <c r="U5">
        <v>5</v>
      </c>
      <c r="V5">
        <v>5</v>
      </c>
      <c r="W5" t="s">
        <v>92</v>
      </c>
      <c r="X5" t="s">
        <v>101</v>
      </c>
      <c r="Y5">
        <v>0.76177329999999999</v>
      </c>
      <c r="Z5">
        <v>0.61387309999999995</v>
      </c>
      <c r="AA5">
        <v>0.68782319999999997</v>
      </c>
      <c r="AB5">
        <v>0.66365932999999999</v>
      </c>
      <c r="AC5">
        <v>4.5322899999999996E-3</v>
      </c>
      <c r="AD5">
        <v>0.3340958</v>
      </c>
      <c r="AE5" t="s">
        <v>102</v>
      </c>
      <c r="AF5" t="s">
        <v>103</v>
      </c>
      <c r="AG5" t="s">
        <v>48</v>
      </c>
    </row>
    <row r="6" spans="1:33" x14ac:dyDescent="0.2">
      <c r="A6">
        <v>19</v>
      </c>
      <c r="B6" t="s">
        <v>117</v>
      </c>
      <c r="C6" t="s">
        <v>124</v>
      </c>
      <c r="D6" t="s">
        <v>42</v>
      </c>
      <c r="E6" t="s">
        <v>125</v>
      </c>
      <c r="F6" t="s">
        <v>126</v>
      </c>
      <c r="G6">
        <v>0</v>
      </c>
      <c r="H6">
        <v>9.5036746934056004E-3</v>
      </c>
      <c r="I6">
        <v>7.1428574621677399E-2</v>
      </c>
      <c r="J6">
        <v>4.4731561094522497E-2</v>
      </c>
      <c r="K6">
        <v>5.7345170527696603E-2</v>
      </c>
      <c r="L6">
        <v>0</v>
      </c>
      <c r="M6">
        <v>1.0644115209579501</v>
      </c>
      <c r="N6">
        <v>0.26169833540916398</v>
      </c>
      <c r="O6">
        <v>0.32283595204353299</v>
      </c>
      <c r="P6">
        <v>0.420480996370316</v>
      </c>
      <c r="Q6">
        <v>0.31642675399780301</v>
      </c>
      <c r="R6" t="s">
        <v>127</v>
      </c>
      <c r="S6" t="s">
        <v>128</v>
      </c>
      <c r="T6">
        <v>0.76996462296193502</v>
      </c>
      <c r="U6">
        <v>6</v>
      </c>
      <c r="V6">
        <v>7</v>
      </c>
      <c r="W6" t="s">
        <v>123</v>
      </c>
      <c r="X6" t="s">
        <v>126</v>
      </c>
      <c r="Y6">
        <v>0.6317142</v>
      </c>
      <c r="Z6">
        <v>0.75581335999999999</v>
      </c>
      <c r="AA6">
        <v>0.69376380000000004</v>
      </c>
      <c r="AB6">
        <v>0.21258223000000001</v>
      </c>
      <c r="AC6">
        <v>0.31563348000000002</v>
      </c>
      <c r="AD6">
        <v>0.26410784999999998</v>
      </c>
      <c r="AG6" t="s">
        <v>48</v>
      </c>
    </row>
    <row r="7" spans="1:33" x14ac:dyDescent="0.2">
      <c r="A7">
        <v>24</v>
      </c>
      <c r="B7" t="s">
        <v>142</v>
      </c>
      <c r="C7" t="s">
        <v>143</v>
      </c>
      <c r="D7" t="s">
        <v>35</v>
      </c>
      <c r="E7" t="s">
        <v>144</v>
      </c>
      <c r="F7" t="s">
        <v>145</v>
      </c>
      <c r="G7">
        <v>0.15068493783473999</v>
      </c>
      <c r="H7">
        <v>8.5602980107068998E-3</v>
      </c>
      <c r="I7">
        <v>8.9108914136886597E-2</v>
      </c>
      <c r="J7">
        <v>0.34357553720474199</v>
      </c>
      <c r="K7">
        <v>5.5520262569189099E-2</v>
      </c>
      <c r="L7">
        <v>33</v>
      </c>
      <c r="M7">
        <v>0.81322836875915505</v>
      </c>
      <c r="N7">
        <v>0.40694409608840898</v>
      </c>
      <c r="O7">
        <v>0.330889701843262</v>
      </c>
      <c r="P7">
        <v>7.0596165955066695E-2</v>
      </c>
      <c r="Q7">
        <v>0.5</v>
      </c>
      <c r="R7" t="s">
        <v>146</v>
      </c>
      <c r="S7" t="s">
        <v>147</v>
      </c>
      <c r="T7">
        <v>1.0756430327784301</v>
      </c>
      <c r="U7">
        <v>6</v>
      </c>
      <c r="V7">
        <v>4</v>
      </c>
      <c r="W7" t="s">
        <v>148</v>
      </c>
      <c r="X7" t="s">
        <v>149</v>
      </c>
      <c r="Y7">
        <v>0.7646963</v>
      </c>
      <c r="Z7">
        <v>0.77594339999999995</v>
      </c>
      <c r="AA7">
        <v>0.7703198</v>
      </c>
      <c r="AB7">
        <v>0.17728187000000001</v>
      </c>
      <c r="AC7">
        <v>0.42318115000000001</v>
      </c>
      <c r="AD7">
        <v>0.30023151999999997</v>
      </c>
      <c r="AG7" t="s">
        <v>48</v>
      </c>
    </row>
    <row r="8" spans="1:33" x14ac:dyDescent="0.2">
      <c r="A8">
        <v>27</v>
      </c>
      <c r="B8" t="s">
        <v>155</v>
      </c>
      <c r="C8" t="s">
        <v>156</v>
      </c>
      <c r="D8" t="s">
        <v>35</v>
      </c>
      <c r="E8" t="s">
        <v>157</v>
      </c>
      <c r="F8" t="s">
        <v>158</v>
      </c>
      <c r="G8">
        <v>1.5957446768879901E-2</v>
      </c>
      <c r="H8">
        <v>1.9166335463523899E-2</v>
      </c>
      <c r="I8">
        <v>0.13541667163372001</v>
      </c>
      <c r="J8">
        <v>0.10469201952219</v>
      </c>
      <c r="K8">
        <v>7.99820050597191E-2</v>
      </c>
      <c r="L8">
        <v>3</v>
      </c>
      <c r="M8">
        <v>1.8399682044982899</v>
      </c>
      <c r="N8">
        <v>0.48786428570747398</v>
      </c>
      <c r="O8">
        <v>0.331714868545532</v>
      </c>
      <c r="P8">
        <v>0.22952285408973699</v>
      </c>
      <c r="Q8">
        <v>0.61665326356887795</v>
      </c>
      <c r="R8" t="s">
        <v>159</v>
      </c>
      <c r="S8" t="s">
        <v>160</v>
      </c>
      <c r="T8">
        <v>0.83307912515818705</v>
      </c>
      <c r="U8">
        <v>6</v>
      </c>
      <c r="V8">
        <v>6</v>
      </c>
      <c r="W8" t="s">
        <v>161</v>
      </c>
      <c r="X8" t="s">
        <v>158</v>
      </c>
      <c r="Y8">
        <v>0.78395115999999998</v>
      </c>
      <c r="Z8">
        <v>0.63460090000000002</v>
      </c>
      <c r="AA8">
        <v>0.70927600000000002</v>
      </c>
      <c r="AB8">
        <v>0.14869537999999999</v>
      </c>
      <c r="AC8">
        <v>0.10374456</v>
      </c>
      <c r="AD8">
        <v>0.12621996999999999</v>
      </c>
      <c r="AE8" t="s">
        <v>72</v>
      </c>
      <c r="AF8" t="s">
        <v>162</v>
      </c>
      <c r="AG8" t="s">
        <v>48</v>
      </c>
    </row>
    <row r="9" spans="1:33" x14ac:dyDescent="0.2">
      <c r="A9">
        <v>31</v>
      </c>
      <c r="B9" t="s">
        <v>168</v>
      </c>
      <c r="C9" t="s">
        <v>175</v>
      </c>
      <c r="D9" t="s">
        <v>42</v>
      </c>
      <c r="E9" t="s">
        <v>174</v>
      </c>
      <c r="F9" t="s">
        <v>176</v>
      </c>
      <c r="G9">
        <v>0</v>
      </c>
      <c r="H9">
        <v>2.3990033194422701E-2</v>
      </c>
      <c r="I9">
        <v>0.14018692076206199</v>
      </c>
      <c r="J9">
        <v>5.8288667351007503E-2</v>
      </c>
      <c r="K9">
        <v>4.0831357240676901E-2</v>
      </c>
      <c r="L9">
        <v>0</v>
      </c>
      <c r="M9">
        <v>2.56693339347839</v>
      </c>
      <c r="N9">
        <v>0.67331075668335005</v>
      </c>
      <c r="O9">
        <v>0.25105306506156899</v>
      </c>
      <c r="P9">
        <v>0.5</v>
      </c>
      <c r="Q9">
        <v>0.34225779771804798</v>
      </c>
      <c r="R9" t="s">
        <v>177</v>
      </c>
      <c r="S9" t="s">
        <v>178</v>
      </c>
      <c r="T9">
        <v>1.30734233658823</v>
      </c>
      <c r="U9">
        <v>6</v>
      </c>
      <c r="V9">
        <v>6</v>
      </c>
      <c r="W9" t="s">
        <v>174</v>
      </c>
      <c r="X9" t="s">
        <v>179</v>
      </c>
      <c r="Y9">
        <v>0.79228889999999996</v>
      </c>
      <c r="Z9">
        <v>0.68751720000000005</v>
      </c>
      <c r="AA9">
        <v>0.73990310000000004</v>
      </c>
      <c r="AB9">
        <v>9.7811274000000004E-2</v>
      </c>
      <c r="AC9">
        <v>4.2202047999999999E-2</v>
      </c>
      <c r="AD9">
        <v>7.0006659999999998E-2</v>
      </c>
      <c r="AG9" t="s">
        <v>48</v>
      </c>
    </row>
    <row r="10" spans="1:33" x14ac:dyDescent="0.2">
      <c r="A10">
        <v>34</v>
      </c>
      <c r="B10" t="s">
        <v>182</v>
      </c>
      <c r="C10" t="s">
        <v>188</v>
      </c>
      <c r="D10" t="s">
        <v>42</v>
      </c>
      <c r="E10" t="s">
        <v>184</v>
      </c>
      <c r="F10" t="s">
        <v>189</v>
      </c>
      <c r="G10">
        <v>0</v>
      </c>
      <c r="H10">
        <v>4.65116277337074E-2</v>
      </c>
      <c r="I10">
        <v>4.65116277337074E-2</v>
      </c>
      <c r="J10">
        <v>4.8020128160715103E-2</v>
      </c>
      <c r="K10">
        <v>0.169100001454353</v>
      </c>
      <c r="L10">
        <v>0</v>
      </c>
      <c r="M10">
        <v>4</v>
      </c>
      <c r="N10">
        <v>0.486898154020309</v>
      </c>
      <c r="O10">
        <v>0.48106569051742598</v>
      </c>
      <c r="P10">
        <v>1</v>
      </c>
      <c r="Q10">
        <v>1</v>
      </c>
      <c r="R10" t="s">
        <v>39</v>
      </c>
      <c r="S10" t="s">
        <v>39</v>
      </c>
      <c r="T10">
        <v>0.99091277552443102</v>
      </c>
      <c r="U10">
        <v>6</v>
      </c>
      <c r="V10">
        <v>8</v>
      </c>
      <c r="W10" t="s">
        <v>184</v>
      </c>
      <c r="X10" t="s">
        <v>189</v>
      </c>
      <c r="Y10">
        <v>0.7808657</v>
      </c>
      <c r="Z10">
        <v>0.80417680000000002</v>
      </c>
      <c r="AA10">
        <v>0.79252124000000002</v>
      </c>
      <c r="AB10">
        <v>0.24590074000000001</v>
      </c>
      <c r="AC10">
        <v>0.54852299999999998</v>
      </c>
      <c r="AD10">
        <v>0.39721188000000002</v>
      </c>
      <c r="AG10" t="s">
        <v>48</v>
      </c>
    </row>
    <row r="11" spans="1:33" x14ac:dyDescent="0.2">
      <c r="A11">
        <v>38</v>
      </c>
      <c r="B11" t="s">
        <v>192</v>
      </c>
      <c r="C11" t="s">
        <v>204</v>
      </c>
      <c r="D11" t="s">
        <v>46</v>
      </c>
      <c r="G11">
        <v>0.120689652860165</v>
      </c>
      <c r="H11">
        <v>0</v>
      </c>
      <c r="J11">
        <v>0.21122011542320299</v>
      </c>
      <c r="K11">
        <v>1.08932387083769E-2</v>
      </c>
      <c r="L11">
        <v>28</v>
      </c>
      <c r="M11">
        <v>0</v>
      </c>
      <c r="T11">
        <v>0.39156232258412799</v>
      </c>
      <c r="U11">
        <v>4</v>
      </c>
      <c r="V11">
        <v>4</v>
      </c>
      <c r="W11" t="s">
        <v>198</v>
      </c>
      <c r="X11" t="s">
        <v>205</v>
      </c>
      <c r="Y11">
        <v>0.69735515000000003</v>
      </c>
      <c r="Z11">
        <v>0.78983455999999996</v>
      </c>
      <c r="AA11">
        <v>0.74359489999999995</v>
      </c>
      <c r="AB11">
        <v>0.19988122999999999</v>
      </c>
      <c r="AC11">
        <v>0.33836442</v>
      </c>
      <c r="AD11">
        <v>0.26912283999999997</v>
      </c>
      <c r="AG11" t="s">
        <v>48</v>
      </c>
    </row>
    <row r="12" spans="1:33" x14ac:dyDescent="0.2">
      <c r="A12">
        <v>46</v>
      </c>
      <c r="B12" t="s">
        <v>227</v>
      </c>
      <c r="C12" t="s">
        <v>111</v>
      </c>
      <c r="D12" t="s">
        <v>42</v>
      </c>
      <c r="E12" t="s">
        <v>234</v>
      </c>
      <c r="F12" t="s">
        <v>113</v>
      </c>
      <c r="G12">
        <v>0</v>
      </c>
      <c r="H12">
        <v>1.4015922322869301E-2</v>
      </c>
      <c r="I12">
        <v>3.9603959769010502E-2</v>
      </c>
      <c r="J12">
        <v>7.4121348559856401E-2</v>
      </c>
      <c r="K12">
        <v>0.11646916717290901</v>
      </c>
      <c r="L12">
        <v>0</v>
      </c>
      <c r="M12">
        <v>1.4156081676483201</v>
      </c>
      <c r="N12">
        <v>0.43153265118598899</v>
      </c>
      <c r="O12">
        <v>0.43469262123107899</v>
      </c>
      <c r="P12">
        <v>0.35390204191207902</v>
      </c>
      <c r="Q12">
        <v>1</v>
      </c>
      <c r="R12" t="s">
        <v>235</v>
      </c>
      <c r="S12" t="s">
        <v>39</v>
      </c>
      <c r="T12">
        <v>0.18616747121786401</v>
      </c>
      <c r="U12">
        <v>5</v>
      </c>
      <c r="V12">
        <v>5</v>
      </c>
      <c r="W12" t="s">
        <v>229</v>
      </c>
      <c r="X12" t="s">
        <v>113</v>
      </c>
      <c r="Y12">
        <v>0.75537825000000003</v>
      </c>
      <c r="Z12">
        <v>0.72355389999999997</v>
      </c>
      <c r="AA12">
        <v>0.73946610000000002</v>
      </c>
      <c r="AB12">
        <v>0.26593341999999998</v>
      </c>
      <c r="AC12">
        <v>0.20194403999999999</v>
      </c>
      <c r="AD12">
        <v>0.23393871999999999</v>
      </c>
      <c r="AG12" t="s">
        <v>48</v>
      </c>
    </row>
    <row r="13" spans="1:33" x14ac:dyDescent="0.2">
      <c r="A13">
        <v>50</v>
      </c>
      <c r="B13" t="s">
        <v>238</v>
      </c>
      <c r="C13" t="s">
        <v>250</v>
      </c>
      <c r="D13" t="s">
        <v>46</v>
      </c>
      <c r="G13">
        <v>2.41545885801315E-2</v>
      </c>
      <c r="H13">
        <v>0</v>
      </c>
      <c r="J13">
        <v>5.9991765767335899E-2</v>
      </c>
      <c r="K13">
        <v>1.85707062482834E-2</v>
      </c>
      <c r="L13">
        <v>5</v>
      </c>
      <c r="M13">
        <v>0</v>
      </c>
      <c r="T13">
        <v>0.51901459287361196</v>
      </c>
      <c r="U13">
        <v>5</v>
      </c>
      <c r="V13">
        <v>4</v>
      </c>
      <c r="W13" t="s">
        <v>240</v>
      </c>
      <c r="X13" t="s">
        <v>251</v>
      </c>
      <c r="Y13">
        <v>0.77052580000000004</v>
      </c>
      <c r="Z13">
        <v>0.60858909999999999</v>
      </c>
      <c r="AA13">
        <v>0.68955743000000003</v>
      </c>
      <c r="AB13">
        <v>0.5171616</v>
      </c>
      <c r="AC13">
        <v>0.17297293</v>
      </c>
      <c r="AD13">
        <v>0.34506725999999999</v>
      </c>
      <c r="AG13" t="s">
        <v>48</v>
      </c>
    </row>
    <row r="14" spans="1:33" x14ac:dyDescent="0.2">
      <c r="A14">
        <v>52</v>
      </c>
      <c r="B14" t="s">
        <v>252</v>
      </c>
      <c r="C14" t="s">
        <v>257</v>
      </c>
      <c r="D14" t="s">
        <v>42</v>
      </c>
      <c r="E14" t="s">
        <v>258</v>
      </c>
      <c r="F14" t="s">
        <v>259</v>
      </c>
      <c r="G14">
        <v>0</v>
      </c>
      <c r="H14">
        <v>1.07216406613588E-2</v>
      </c>
      <c r="I14">
        <v>3.66972461342812E-2</v>
      </c>
      <c r="J14">
        <v>4.0999576449394198E-2</v>
      </c>
      <c r="K14">
        <v>6.5123513340949998E-2</v>
      </c>
      <c r="L14">
        <v>0</v>
      </c>
      <c r="M14">
        <v>1.1686588525772099</v>
      </c>
      <c r="N14">
        <v>0.50557482242584195</v>
      </c>
      <c r="O14">
        <v>0.37627145648002602</v>
      </c>
      <c r="P14">
        <v>0.5</v>
      </c>
      <c r="Q14">
        <v>0.58432942628860496</v>
      </c>
      <c r="R14" t="s">
        <v>260</v>
      </c>
      <c r="S14" t="s">
        <v>261</v>
      </c>
      <c r="T14">
        <v>0.97060420380949597</v>
      </c>
      <c r="U14">
        <v>4</v>
      </c>
      <c r="V14">
        <v>3</v>
      </c>
      <c r="W14" t="s">
        <v>254</v>
      </c>
      <c r="X14" t="s">
        <v>259</v>
      </c>
      <c r="Y14">
        <v>0.84434620000000005</v>
      </c>
      <c r="Z14">
        <v>0.72782457</v>
      </c>
      <c r="AA14">
        <v>0.78608537000000001</v>
      </c>
      <c r="AB14">
        <v>0.17669687000000001</v>
      </c>
      <c r="AC14">
        <v>0.30691249999999998</v>
      </c>
      <c r="AD14">
        <v>0.24180468999999999</v>
      </c>
      <c r="AG14" t="s">
        <v>48</v>
      </c>
    </row>
    <row r="15" spans="1:33" x14ac:dyDescent="0.2">
      <c r="A15">
        <v>62</v>
      </c>
      <c r="B15" t="s">
        <v>286</v>
      </c>
      <c r="C15" t="s">
        <v>296</v>
      </c>
      <c r="D15" t="s">
        <v>46</v>
      </c>
      <c r="G15">
        <v>3.05343512445688E-2</v>
      </c>
      <c r="H15">
        <v>0</v>
      </c>
      <c r="J15">
        <v>4.0400125086307498E-2</v>
      </c>
      <c r="K15">
        <v>1.2775456532836E-2</v>
      </c>
      <c r="L15">
        <v>4</v>
      </c>
      <c r="M15">
        <v>0</v>
      </c>
      <c r="T15">
        <v>1.33942855441997</v>
      </c>
      <c r="U15">
        <v>4</v>
      </c>
      <c r="V15">
        <v>3</v>
      </c>
      <c r="W15" t="s">
        <v>288</v>
      </c>
      <c r="X15" t="s">
        <v>297</v>
      </c>
      <c r="Y15">
        <v>0.76560589999999995</v>
      </c>
      <c r="Z15">
        <v>0.74668020000000002</v>
      </c>
      <c r="AA15">
        <v>0.75614309999999996</v>
      </c>
      <c r="AB15">
        <v>0.11914565000000001</v>
      </c>
      <c r="AC15">
        <v>0.49461981999999999</v>
      </c>
      <c r="AD15">
        <v>0.30688273999999999</v>
      </c>
      <c r="AG15" t="s">
        <v>48</v>
      </c>
    </row>
    <row r="16" spans="1:33" x14ac:dyDescent="0.2">
      <c r="A16">
        <v>64</v>
      </c>
      <c r="B16" t="s">
        <v>298</v>
      </c>
      <c r="C16" t="s">
        <v>303</v>
      </c>
      <c r="D16" t="s">
        <v>42</v>
      </c>
      <c r="E16" t="s">
        <v>300</v>
      </c>
      <c r="F16" t="s">
        <v>304</v>
      </c>
      <c r="G16">
        <v>0</v>
      </c>
      <c r="H16">
        <v>1.1682243086397599E-2</v>
      </c>
      <c r="I16">
        <v>4.6728972345590598E-2</v>
      </c>
      <c r="J16">
        <v>3.2801996916532503E-2</v>
      </c>
      <c r="K16">
        <v>1.90750006586313E-2</v>
      </c>
      <c r="L16">
        <v>0</v>
      </c>
      <c r="M16">
        <v>1.25</v>
      </c>
      <c r="N16">
        <v>0.57215112447738703</v>
      </c>
      <c r="O16">
        <v>0.45151537656784102</v>
      </c>
      <c r="P16">
        <v>1</v>
      </c>
      <c r="Q16">
        <v>0.25</v>
      </c>
      <c r="R16" t="s">
        <v>39</v>
      </c>
      <c r="S16" t="s">
        <v>305</v>
      </c>
      <c r="T16">
        <v>1.1359064998530399</v>
      </c>
      <c r="U16">
        <v>4</v>
      </c>
      <c r="V16">
        <v>5</v>
      </c>
      <c r="W16" t="s">
        <v>300</v>
      </c>
      <c r="X16" t="s">
        <v>306</v>
      </c>
      <c r="Y16">
        <v>0.82606906000000002</v>
      </c>
      <c r="Z16">
        <v>0.79878709999999997</v>
      </c>
      <c r="AA16">
        <v>0.81242809999999999</v>
      </c>
      <c r="AB16">
        <v>0.42394557999999999</v>
      </c>
      <c r="AC16">
        <v>0.65296500000000002</v>
      </c>
      <c r="AD16">
        <v>0.53845529999999997</v>
      </c>
      <c r="AG16" t="s">
        <v>48</v>
      </c>
    </row>
    <row r="17" spans="1:33" x14ac:dyDescent="0.2">
      <c r="A17">
        <v>68</v>
      </c>
      <c r="B17" t="s">
        <v>309</v>
      </c>
      <c r="C17" t="s">
        <v>318</v>
      </c>
      <c r="D17" t="s">
        <v>46</v>
      </c>
      <c r="G17">
        <v>2.89017334580421E-2</v>
      </c>
      <c r="H17">
        <v>0</v>
      </c>
      <c r="J17">
        <v>4.0620882064104101E-2</v>
      </c>
      <c r="K17">
        <v>1.6692385077476501E-2</v>
      </c>
      <c r="L17">
        <v>5</v>
      </c>
      <c r="M17">
        <v>0</v>
      </c>
      <c r="T17">
        <v>0.92489703322064898</v>
      </c>
      <c r="U17">
        <v>5</v>
      </c>
      <c r="V17">
        <v>5</v>
      </c>
      <c r="W17" t="s">
        <v>311</v>
      </c>
      <c r="X17" t="s">
        <v>319</v>
      </c>
      <c r="Y17">
        <v>0.65544170000000002</v>
      </c>
      <c r="Z17">
        <v>0.78724939999999999</v>
      </c>
      <c r="AA17">
        <v>0.72134553999999995</v>
      </c>
      <c r="AB17">
        <v>0.31645395999999998</v>
      </c>
      <c r="AC17">
        <v>0.57065469999999996</v>
      </c>
      <c r="AD17">
        <v>0.44355433999999999</v>
      </c>
      <c r="AG17" t="s">
        <v>48</v>
      </c>
    </row>
    <row r="18" spans="1:33" x14ac:dyDescent="0.2">
      <c r="A18">
        <v>70</v>
      </c>
      <c r="B18" t="s">
        <v>320</v>
      </c>
      <c r="C18" t="s">
        <v>326</v>
      </c>
      <c r="D18" t="s">
        <v>42</v>
      </c>
      <c r="E18" t="s">
        <v>322</v>
      </c>
      <c r="F18" t="s">
        <v>327</v>
      </c>
      <c r="G18">
        <v>0</v>
      </c>
      <c r="H18">
        <v>1.46735077723861E-2</v>
      </c>
      <c r="I18">
        <v>3.4090910106897403E-2</v>
      </c>
      <c r="J18">
        <v>2.8162173926830299E-2</v>
      </c>
      <c r="K18">
        <v>4.37309630215168E-2</v>
      </c>
      <c r="L18">
        <v>0</v>
      </c>
      <c r="M18">
        <v>1.2912685871124301</v>
      </c>
      <c r="N18">
        <v>0.58378058671951305</v>
      </c>
      <c r="O18">
        <v>0.45226556062698398</v>
      </c>
      <c r="P18">
        <v>1</v>
      </c>
      <c r="Q18">
        <v>0.43042287230491599</v>
      </c>
      <c r="R18" t="s">
        <v>39</v>
      </c>
      <c r="S18" t="s">
        <v>328</v>
      </c>
      <c r="T18">
        <v>1.00949875400977</v>
      </c>
      <c r="U18">
        <v>4</v>
      </c>
      <c r="V18">
        <v>6</v>
      </c>
      <c r="W18" t="s">
        <v>322</v>
      </c>
      <c r="X18" t="s">
        <v>327</v>
      </c>
      <c r="Y18">
        <v>0.79896330000000004</v>
      </c>
      <c r="Z18">
        <v>0.72683734</v>
      </c>
      <c r="AA18">
        <v>0.76290035</v>
      </c>
      <c r="AB18">
        <v>0.23891924</v>
      </c>
      <c r="AC18">
        <v>0.21142601999999999</v>
      </c>
      <c r="AD18">
        <v>0.22517264000000001</v>
      </c>
      <c r="AG18" t="s">
        <v>48</v>
      </c>
    </row>
    <row r="19" spans="1:33" x14ac:dyDescent="0.2">
      <c r="A19">
        <v>75</v>
      </c>
      <c r="B19" t="s">
        <v>341</v>
      </c>
      <c r="C19" t="s">
        <v>342</v>
      </c>
      <c r="D19" t="s">
        <v>35</v>
      </c>
      <c r="E19" t="s">
        <v>343</v>
      </c>
      <c r="F19" t="s">
        <v>344</v>
      </c>
      <c r="G19">
        <v>1.80180203169584E-2</v>
      </c>
      <c r="H19">
        <v>2.87666097283363E-2</v>
      </c>
      <c r="I19">
        <v>6.3157893717288971E-2</v>
      </c>
      <c r="J19">
        <v>0.29956698417663602</v>
      </c>
      <c r="K19">
        <v>0.30489251017570501</v>
      </c>
      <c r="L19">
        <v>4</v>
      </c>
      <c r="M19">
        <v>2.73282814025879</v>
      </c>
      <c r="N19">
        <v>0.20574228465557101</v>
      </c>
      <c r="O19">
        <v>0.51640307903289795</v>
      </c>
      <c r="P19">
        <v>1</v>
      </c>
      <c r="Q19">
        <v>0.45547133684158297</v>
      </c>
      <c r="R19" t="s">
        <v>39</v>
      </c>
      <c r="S19" t="s">
        <v>345</v>
      </c>
      <c r="T19">
        <v>1.1040135345858</v>
      </c>
      <c r="U19">
        <v>4</v>
      </c>
      <c r="V19">
        <v>5</v>
      </c>
      <c r="W19" t="s">
        <v>343</v>
      </c>
      <c r="X19" t="s">
        <v>346</v>
      </c>
      <c r="Y19">
        <v>0.66934320000000003</v>
      </c>
      <c r="Z19">
        <v>0.70939300000000005</v>
      </c>
      <c r="AA19">
        <v>0.68936810000000004</v>
      </c>
      <c r="AB19">
        <v>5.5568571999999997E-2</v>
      </c>
      <c r="AC19">
        <v>0.18696252999999999</v>
      </c>
      <c r="AD19">
        <v>0.12126555</v>
      </c>
      <c r="AE19" t="s">
        <v>72</v>
      </c>
      <c r="AF19" t="s">
        <v>76</v>
      </c>
      <c r="AG19" t="s">
        <v>48</v>
      </c>
    </row>
    <row r="20" spans="1:33" x14ac:dyDescent="0.2">
      <c r="A20">
        <v>78</v>
      </c>
      <c r="B20" t="s">
        <v>351</v>
      </c>
      <c r="C20" t="s">
        <v>352</v>
      </c>
      <c r="D20" t="s">
        <v>35</v>
      </c>
      <c r="E20" t="s">
        <v>353</v>
      </c>
      <c r="F20" t="s">
        <v>354</v>
      </c>
      <c r="G20">
        <v>0.11458332836628</v>
      </c>
      <c r="H20">
        <v>3.5364132374525098E-2</v>
      </c>
      <c r="I20">
        <v>0.115384615957737</v>
      </c>
      <c r="J20">
        <v>0.38331642746925398</v>
      </c>
      <c r="K20">
        <v>0.160048633813858</v>
      </c>
      <c r="L20">
        <v>22</v>
      </c>
      <c r="M20">
        <v>3.6778700351715101</v>
      </c>
      <c r="N20">
        <v>0.38950902223586997</v>
      </c>
      <c r="O20">
        <v>0.52635473012924205</v>
      </c>
      <c r="P20">
        <v>0.70180487632751498</v>
      </c>
      <c r="Q20">
        <v>0.43671563267707803</v>
      </c>
      <c r="R20" t="s">
        <v>355</v>
      </c>
      <c r="S20" t="s">
        <v>356</v>
      </c>
      <c r="T20">
        <v>1.0748516502501999</v>
      </c>
      <c r="U20">
        <v>5</v>
      </c>
      <c r="V20">
        <v>6</v>
      </c>
      <c r="W20" t="s">
        <v>353</v>
      </c>
      <c r="X20" t="s">
        <v>354</v>
      </c>
      <c r="Y20">
        <v>0.69349769999999999</v>
      </c>
      <c r="Z20">
        <v>0.70835720000000002</v>
      </c>
      <c r="AA20">
        <v>0.70092750000000004</v>
      </c>
      <c r="AB20">
        <v>0.31497199999999997</v>
      </c>
      <c r="AC20">
        <v>0.23918824999999999</v>
      </c>
      <c r="AD20">
        <v>0.27708011999999999</v>
      </c>
      <c r="AG20" t="s">
        <v>48</v>
      </c>
    </row>
    <row r="21" spans="1:33" x14ac:dyDescent="0.2">
      <c r="A21">
        <v>81</v>
      </c>
      <c r="B21" t="s">
        <v>362</v>
      </c>
      <c r="C21" t="s">
        <v>363</v>
      </c>
      <c r="D21" t="s">
        <v>35</v>
      </c>
      <c r="E21" t="s">
        <v>364</v>
      </c>
      <c r="F21" t="s">
        <v>365</v>
      </c>
      <c r="G21">
        <v>5.3658541291952098E-2</v>
      </c>
      <c r="H21">
        <v>1.32452957332134E-2</v>
      </c>
      <c r="I21">
        <v>0.133333340287209</v>
      </c>
      <c r="J21">
        <v>0.50962436199188199</v>
      </c>
      <c r="K21">
        <v>0.12356587499380101</v>
      </c>
      <c r="L21">
        <v>11</v>
      </c>
      <c r="M21">
        <v>1.5894354581832899</v>
      </c>
      <c r="N21">
        <v>0.47508612275123602</v>
      </c>
      <c r="O21">
        <v>0.374015063047409</v>
      </c>
      <c r="P21">
        <v>0.29801914095878601</v>
      </c>
      <c r="Q21">
        <v>0.33333334326744102</v>
      </c>
      <c r="R21" t="s">
        <v>366</v>
      </c>
      <c r="S21" t="s">
        <v>367</v>
      </c>
      <c r="T21">
        <v>0.49638803169756002</v>
      </c>
      <c r="U21">
        <v>6</v>
      </c>
      <c r="V21">
        <v>5</v>
      </c>
      <c r="W21" t="s">
        <v>368</v>
      </c>
      <c r="X21" t="s">
        <v>365</v>
      </c>
      <c r="Y21">
        <v>0.78467120000000001</v>
      </c>
      <c r="Z21">
        <v>0.79873729999999998</v>
      </c>
      <c r="AA21">
        <v>0.79170423999999995</v>
      </c>
      <c r="AB21">
        <v>0.70466112999999997</v>
      </c>
      <c r="AC21">
        <v>0.52381900000000003</v>
      </c>
      <c r="AD21">
        <v>0.61424005000000004</v>
      </c>
      <c r="AG21" t="s">
        <v>48</v>
      </c>
    </row>
    <row r="22" spans="1:33" x14ac:dyDescent="0.2">
      <c r="A22">
        <v>86</v>
      </c>
      <c r="B22" t="s">
        <v>371</v>
      </c>
      <c r="C22" t="s">
        <v>375</v>
      </c>
      <c r="D22" t="s">
        <v>46</v>
      </c>
      <c r="G22">
        <v>0.238938048481941</v>
      </c>
      <c r="H22">
        <v>0</v>
      </c>
      <c r="J22">
        <v>0.240984737873077</v>
      </c>
      <c r="K22">
        <v>4.1797831654548003E-3</v>
      </c>
      <c r="L22">
        <v>54</v>
      </c>
      <c r="M22">
        <v>0</v>
      </c>
      <c r="T22">
        <v>1.1885918288469299</v>
      </c>
      <c r="U22">
        <v>6</v>
      </c>
      <c r="V22">
        <v>5</v>
      </c>
      <c r="W22" t="s">
        <v>373</v>
      </c>
      <c r="X22" t="s">
        <v>376</v>
      </c>
      <c r="Y22">
        <v>0.58154669999999997</v>
      </c>
      <c r="Z22">
        <v>0.74754430000000005</v>
      </c>
      <c r="AA22">
        <v>0.66454553999999999</v>
      </c>
      <c r="AB22">
        <v>0.73034673999999999</v>
      </c>
      <c r="AC22">
        <v>6.3074119999999997E-2</v>
      </c>
      <c r="AD22">
        <v>0.39671043</v>
      </c>
      <c r="AG22" t="s">
        <v>48</v>
      </c>
    </row>
    <row r="23" spans="1:33" x14ac:dyDescent="0.2">
      <c r="A23">
        <v>87</v>
      </c>
      <c r="B23" t="s">
        <v>377</v>
      </c>
      <c r="C23" t="s">
        <v>378</v>
      </c>
      <c r="D23" t="s">
        <v>35</v>
      </c>
      <c r="E23" t="s">
        <v>379</v>
      </c>
      <c r="F23" t="s">
        <v>380</v>
      </c>
      <c r="G23">
        <v>4.7244086861610399E-2</v>
      </c>
      <c r="H23">
        <v>4.9382716417312601E-2</v>
      </c>
      <c r="I23">
        <v>4.9382716417312601E-2</v>
      </c>
      <c r="J23">
        <v>0.47697690129280101</v>
      </c>
      <c r="K23">
        <v>0.49520000815391502</v>
      </c>
      <c r="L23">
        <v>6</v>
      </c>
      <c r="M23">
        <v>4</v>
      </c>
      <c r="N23">
        <v>0.34499228000640902</v>
      </c>
      <c r="O23">
        <v>0.29198428988456698</v>
      </c>
      <c r="P23">
        <v>1</v>
      </c>
      <c r="Q23">
        <v>1</v>
      </c>
      <c r="R23" t="s">
        <v>39</v>
      </c>
      <c r="S23" t="s">
        <v>39</v>
      </c>
      <c r="T23">
        <v>1.0102230238544001</v>
      </c>
      <c r="U23">
        <v>6</v>
      </c>
      <c r="V23">
        <v>6</v>
      </c>
      <c r="W23" t="s">
        <v>379</v>
      </c>
      <c r="X23" t="s">
        <v>380</v>
      </c>
      <c r="Y23">
        <v>0.66683820000000005</v>
      </c>
      <c r="Z23">
        <v>0.6921119</v>
      </c>
      <c r="AA23">
        <v>0.67947506999999996</v>
      </c>
      <c r="AB23">
        <v>0.23870078</v>
      </c>
      <c r="AC23">
        <v>0.32381082</v>
      </c>
      <c r="AD23">
        <v>0.28125578000000001</v>
      </c>
      <c r="AG23" t="s">
        <v>48</v>
      </c>
    </row>
    <row r="24" spans="1:33" x14ac:dyDescent="0.2">
      <c r="A24">
        <v>91</v>
      </c>
      <c r="B24" t="s">
        <v>385</v>
      </c>
      <c r="C24" t="s">
        <v>225</v>
      </c>
      <c r="D24" t="s">
        <v>42</v>
      </c>
      <c r="E24" t="s">
        <v>387</v>
      </c>
      <c r="F24" t="s">
        <v>226</v>
      </c>
      <c r="G24">
        <v>0</v>
      </c>
      <c r="H24">
        <v>1.08657302334905E-2</v>
      </c>
      <c r="I24">
        <v>3.0927835032343899E-2</v>
      </c>
      <c r="J24">
        <v>2.5112910196185102E-2</v>
      </c>
      <c r="K24">
        <v>3.8364719599485397E-2</v>
      </c>
      <c r="L24">
        <v>0</v>
      </c>
      <c r="M24">
        <v>1.0539759397506701</v>
      </c>
      <c r="N24">
        <v>0.310974210500717</v>
      </c>
      <c r="O24">
        <v>0.44410136342048601</v>
      </c>
      <c r="P24">
        <v>0.82929527759552002</v>
      </c>
      <c r="Q24">
        <v>0.42364317178726202</v>
      </c>
      <c r="R24" t="s">
        <v>389</v>
      </c>
      <c r="S24" t="s">
        <v>391</v>
      </c>
      <c r="T24">
        <v>0.82473003812318402</v>
      </c>
      <c r="U24">
        <v>4</v>
      </c>
      <c r="V24">
        <v>5</v>
      </c>
      <c r="W24" t="s">
        <v>387</v>
      </c>
      <c r="X24" t="s">
        <v>226</v>
      </c>
      <c r="Y24">
        <v>0.65922373999999995</v>
      </c>
      <c r="Z24">
        <v>0.67404330000000001</v>
      </c>
      <c r="AA24">
        <v>0.66663349999999999</v>
      </c>
      <c r="AB24">
        <v>0.22844301</v>
      </c>
      <c r="AC24">
        <v>0.26643600000000001</v>
      </c>
      <c r="AD24">
        <v>0.24743950000000001</v>
      </c>
      <c r="AG24" t="s">
        <v>48</v>
      </c>
    </row>
    <row r="25" spans="1:33" x14ac:dyDescent="0.2">
      <c r="A25">
        <v>93</v>
      </c>
      <c r="B25" t="s">
        <v>394</v>
      </c>
      <c r="C25" t="s">
        <v>395</v>
      </c>
      <c r="D25" t="s">
        <v>35</v>
      </c>
      <c r="E25" t="s">
        <v>396</v>
      </c>
      <c r="F25" t="s">
        <v>397</v>
      </c>
      <c r="G25">
        <v>1.9607836380600902E-2</v>
      </c>
      <c r="H25">
        <v>9.0384958311914999E-3</v>
      </c>
      <c r="I25">
        <v>2.9411764815449711E-2</v>
      </c>
      <c r="J25">
        <v>0.18959073722362499</v>
      </c>
      <c r="K25">
        <v>5.9648651629686397E-2</v>
      </c>
      <c r="L25">
        <v>4</v>
      </c>
      <c r="M25">
        <v>0.92192655801773105</v>
      </c>
      <c r="N25">
        <v>0.21288408339023601</v>
      </c>
      <c r="O25">
        <v>0.459776401519775</v>
      </c>
      <c r="P25">
        <v>0.65254652500152599</v>
      </c>
      <c r="Q25">
        <v>0.47093784809112599</v>
      </c>
      <c r="R25" t="s">
        <v>398</v>
      </c>
      <c r="S25" t="s">
        <v>399</v>
      </c>
      <c r="T25">
        <v>1.1199245251361201</v>
      </c>
      <c r="U25">
        <v>5</v>
      </c>
      <c r="V25">
        <v>7</v>
      </c>
      <c r="W25" t="s">
        <v>396</v>
      </c>
      <c r="X25" t="s">
        <v>397</v>
      </c>
      <c r="Y25">
        <v>0.70576220000000001</v>
      </c>
      <c r="Z25">
        <v>0.78162175</v>
      </c>
      <c r="AA25">
        <v>0.74369200000000002</v>
      </c>
      <c r="AB25">
        <v>0.39005485000000001</v>
      </c>
      <c r="AC25">
        <v>0.28335782999999998</v>
      </c>
      <c r="AD25">
        <v>0.33670633999999999</v>
      </c>
      <c r="AE25" t="s">
        <v>72</v>
      </c>
      <c r="AF25" t="s">
        <v>76</v>
      </c>
      <c r="AG25" t="s">
        <v>48</v>
      </c>
    </row>
    <row r="26" spans="1:33" x14ac:dyDescent="0.2">
      <c r="A26">
        <v>96</v>
      </c>
      <c r="B26" t="s">
        <v>408</v>
      </c>
      <c r="C26" t="s">
        <v>409</v>
      </c>
      <c r="D26" t="s">
        <v>35</v>
      </c>
      <c r="E26" t="s">
        <v>410</v>
      </c>
      <c r="F26" t="s">
        <v>411</v>
      </c>
      <c r="G26">
        <v>1.5625005587935399E-2</v>
      </c>
      <c r="H26">
        <v>2.80373822897673E-2</v>
      </c>
      <c r="I26">
        <v>2.80373822897673E-2</v>
      </c>
      <c r="J26">
        <v>0.26082623004913302</v>
      </c>
      <c r="K26">
        <v>0.393900007009506</v>
      </c>
      <c r="L26">
        <v>3</v>
      </c>
      <c r="M26">
        <v>3</v>
      </c>
      <c r="N26">
        <v>0.22807346284389499</v>
      </c>
      <c r="O26">
        <v>0.30284827947616599</v>
      </c>
      <c r="P26">
        <v>1</v>
      </c>
      <c r="Q26">
        <v>1</v>
      </c>
      <c r="R26" t="s">
        <v>39</v>
      </c>
      <c r="S26" t="s">
        <v>39</v>
      </c>
      <c r="T26">
        <v>1.1529667055217001</v>
      </c>
      <c r="U26">
        <v>4</v>
      </c>
      <c r="V26">
        <v>4</v>
      </c>
      <c r="W26" t="s">
        <v>410</v>
      </c>
      <c r="X26" t="s">
        <v>411</v>
      </c>
      <c r="Y26">
        <v>0.73596709999999999</v>
      </c>
      <c r="Z26">
        <v>0.6118962</v>
      </c>
      <c r="AA26">
        <v>0.67393166000000004</v>
      </c>
      <c r="AB26">
        <v>0.12801418000000001</v>
      </c>
      <c r="AC26">
        <v>3.8814044999999998E-2</v>
      </c>
      <c r="AD26">
        <v>8.341411E-2</v>
      </c>
      <c r="AG26" t="s">
        <v>48</v>
      </c>
    </row>
    <row r="27" spans="1:33" x14ac:dyDescent="0.2">
      <c r="A27">
        <v>104</v>
      </c>
      <c r="B27" t="s">
        <v>431</v>
      </c>
      <c r="C27" t="s">
        <v>440</v>
      </c>
      <c r="D27" t="s">
        <v>46</v>
      </c>
      <c r="G27">
        <v>3.10880914330483E-2</v>
      </c>
      <c r="H27">
        <v>0</v>
      </c>
      <c r="J27">
        <v>0.19812658429145799</v>
      </c>
      <c r="K27">
        <v>2.3546157404780398E-2</v>
      </c>
      <c r="L27">
        <v>6</v>
      </c>
      <c r="M27">
        <v>0</v>
      </c>
      <c r="T27">
        <v>1.4257530964193601</v>
      </c>
      <c r="U27">
        <v>6</v>
      </c>
      <c r="V27">
        <v>4</v>
      </c>
      <c r="W27" t="s">
        <v>433</v>
      </c>
      <c r="X27" t="s">
        <v>441</v>
      </c>
      <c r="Y27">
        <v>0.73797250000000003</v>
      </c>
      <c r="Z27">
        <v>0.76584079999999999</v>
      </c>
      <c r="AA27">
        <v>0.75190663000000002</v>
      </c>
      <c r="AB27">
        <v>0.41177427999999999</v>
      </c>
      <c r="AC27">
        <v>0.30135604999999999</v>
      </c>
      <c r="AD27">
        <v>0.35656517999999998</v>
      </c>
      <c r="AG27" t="s">
        <v>48</v>
      </c>
    </row>
    <row r="28" spans="1:33" x14ac:dyDescent="0.2">
      <c r="A28">
        <v>107</v>
      </c>
      <c r="B28" t="s">
        <v>442</v>
      </c>
      <c r="C28" t="s">
        <v>454</v>
      </c>
      <c r="D28" t="s">
        <v>46</v>
      </c>
      <c r="G28">
        <v>2.5316454470157599E-2</v>
      </c>
      <c r="H28">
        <v>0</v>
      </c>
      <c r="J28">
        <v>7.6640591025352506E-2</v>
      </c>
      <c r="K28">
        <v>4.0073697455227002E-3</v>
      </c>
      <c r="L28">
        <v>4</v>
      </c>
      <c r="M28">
        <v>0</v>
      </c>
      <c r="T28">
        <v>1.1471464059791501</v>
      </c>
      <c r="U28">
        <v>4</v>
      </c>
      <c r="V28">
        <v>4</v>
      </c>
      <c r="W28" t="s">
        <v>448</v>
      </c>
      <c r="X28" t="s">
        <v>455</v>
      </c>
      <c r="Y28">
        <v>0.76610480000000003</v>
      </c>
      <c r="Z28">
        <v>0.73249969999999998</v>
      </c>
      <c r="AA28">
        <v>0.74930227000000005</v>
      </c>
      <c r="AB28">
        <v>0.29184504999999999</v>
      </c>
      <c r="AC28">
        <v>0.42093036</v>
      </c>
      <c r="AD28">
        <v>0.35638769999999997</v>
      </c>
      <c r="AE28" t="s">
        <v>72</v>
      </c>
      <c r="AF28" t="s">
        <v>76</v>
      </c>
      <c r="AG28" t="s">
        <v>48</v>
      </c>
    </row>
    <row r="29" spans="1:33" x14ac:dyDescent="0.2">
      <c r="A29">
        <v>110</v>
      </c>
      <c r="B29" t="s">
        <v>456</v>
      </c>
      <c r="C29" t="s">
        <v>463</v>
      </c>
      <c r="D29" t="s">
        <v>46</v>
      </c>
      <c r="G29">
        <v>3.3519547432661098E-2</v>
      </c>
      <c r="H29">
        <v>0</v>
      </c>
      <c r="J29">
        <v>0.52972763776779197</v>
      </c>
      <c r="K29">
        <v>2.5000000372528999E-2</v>
      </c>
      <c r="L29">
        <v>6</v>
      </c>
      <c r="M29">
        <v>0</v>
      </c>
      <c r="T29">
        <v>0.88836657702326804</v>
      </c>
      <c r="U29">
        <v>5</v>
      </c>
      <c r="V29">
        <v>5</v>
      </c>
      <c r="W29" t="s">
        <v>458</v>
      </c>
      <c r="X29" t="s">
        <v>464</v>
      </c>
      <c r="Y29">
        <v>0.76699733999999997</v>
      </c>
      <c r="Z29">
        <v>0.36970692999999999</v>
      </c>
      <c r="AA29">
        <v>0.56835210000000003</v>
      </c>
      <c r="AB29">
        <v>0.21407603</v>
      </c>
      <c r="AC29">
        <v>2.5999594999999999E-3</v>
      </c>
      <c r="AD29">
        <v>0.10833799</v>
      </c>
      <c r="AG29" t="s">
        <v>48</v>
      </c>
    </row>
    <row r="30" spans="1:33" x14ac:dyDescent="0.2">
      <c r="A30">
        <v>111</v>
      </c>
      <c r="B30" t="s">
        <v>465</v>
      </c>
      <c r="C30" t="s">
        <v>207</v>
      </c>
      <c r="D30" t="s">
        <v>35</v>
      </c>
      <c r="E30" t="s">
        <v>466</v>
      </c>
      <c r="F30" t="s">
        <v>209</v>
      </c>
      <c r="G30">
        <v>0.27397257089614901</v>
      </c>
      <c r="H30">
        <v>5.5635850876569803E-2</v>
      </c>
      <c r="I30">
        <v>0.27272728085517878</v>
      </c>
      <c r="J30">
        <v>0.37435194849968001</v>
      </c>
      <c r="K30">
        <v>0.241867646574974</v>
      </c>
      <c r="L30">
        <v>60</v>
      </c>
      <c r="M30">
        <v>4.8959546089172399</v>
      </c>
      <c r="N30">
        <v>0.39831694960594199</v>
      </c>
      <c r="O30">
        <v>0.45174866914749101</v>
      </c>
      <c r="P30">
        <v>0.638230860233307</v>
      </c>
      <c r="Q30">
        <v>0.31963059306144698</v>
      </c>
      <c r="R30" t="s">
        <v>467</v>
      </c>
      <c r="S30" t="s">
        <v>211</v>
      </c>
      <c r="T30">
        <v>1.0399795197805699</v>
      </c>
      <c r="U30">
        <v>5</v>
      </c>
      <c r="V30">
        <v>5</v>
      </c>
      <c r="W30" t="s">
        <v>466</v>
      </c>
      <c r="X30" t="s">
        <v>213</v>
      </c>
      <c r="Y30">
        <v>0.76994180000000001</v>
      </c>
      <c r="Z30">
        <v>0.80757659999999998</v>
      </c>
      <c r="AA30">
        <v>0.78875923000000003</v>
      </c>
      <c r="AB30">
        <v>0.57118124000000003</v>
      </c>
      <c r="AC30">
        <v>0.68876769999999998</v>
      </c>
      <c r="AD30">
        <v>0.62997449999999999</v>
      </c>
      <c r="AG30" t="s">
        <v>48</v>
      </c>
    </row>
    <row r="31" spans="1:33" x14ac:dyDescent="0.2">
      <c r="A31">
        <v>114</v>
      </c>
      <c r="B31" t="s">
        <v>473</v>
      </c>
      <c r="C31" t="s">
        <v>474</v>
      </c>
      <c r="D31" t="s">
        <v>35</v>
      </c>
      <c r="E31" t="s">
        <v>475</v>
      </c>
      <c r="F31" t="s">
        <v>476</v>
      </c>
      <c r="G31">
        <v>4.4843055307865101E-2</v>
      </c>
      <c r="H31">
        <v>4.9611203372478499E-2</v>
      </c>
      <c r="I31">
        <v>7.5000002980232197E-2</v>
      </c>
      <c r="J31">
        <v>0.43434712290763899</v>
      </c>
      <c r="K31">
        <v>0.34813836216926602</v>
      </c>
      <c r="L31">
        <v>10</v>
      </c>
      <c r="M31">
        <v>3.968896150588991</v>
      </c>
      <c r="N31">
        <v>0.27913075685501099</v>
      </c>
      <c r="O31">
        <v>0.47948473691940302</v>
      </c>
      <c r="P31">
        <v>0.66148269176483199</v>
      </c>
      <c r="Q31">
        <v>1</v>
      </c>
      <c r="R31" t="s">
        <v>477</v>
      </c>
      <c r="S31" t="s">
        <v>39</v>
      </c>
      <c r="T31">
        <v>0.48969146042850198</v>
      </c>
      <c r="U31">
        <v>5</v>
      </c>
      <c r="V31">
        <v>6</v>
      </c>
      <c r="W31" t="s">
        <v>475</v>
      </c>
      <c r="X31" t="s">
        <v>476</v>
      </c>
      <c r="Y31">
        <v>0.76593730000000004</v>
      </c>
      <c r="Z31">
        <v>0.79217243000000004</v>
      </c>
      <c r="AA31">
        <v>0.77905489999999999</v>
      </c>
      <c r="AB31">
        <v>0.31622942999999998</v>
      </c>
      <c r="AC31">
        <v>0.74965965999999995</v>
      </c>
      <c r="AD31">
        <v>0.53294456000000001</v>
      </c>
      <c r="AG31" t="s">
        <v>48</v>
      </c>
    </row>
    <row r="32" spans="1:33" x14ac:dyDescent="0.2">
      <c r="A32">
        <v>119</v>
      </c>
      <c r="B32" t="s">
        <v>486</v>
      </c>
      <c r="C32" t="s">
        <v>494</v>
      </c>
      <c r="D32" t="s">
        <v>46</v>
      </c>
      <c r="G32">
        <v>0.15740738809108701</v>
      </c>
      <c r="H32">
        <v>0</v>
      </c>
      <c r="J32">
        <v>0.22596342861652399</v>
      </c>
      <c r="K32">
        <v>2.0330158993601799E-2</v>
      </c>
      <c r="L32">
        <v>34</v>
      </c>
      <c r="M32">
        <v>0</v>
      </c>
      <c r="T32">
        <v>0.65154654592065198</v>
      </c>
      <c r="U32">
        <v>4</v>
      </c>
      <c r="V32">
        <v>3</v>
      </c>
      <c r="W32" t="s">
        <v>488</v>
      </c>
      <c r="X32" t="s">
        <v>316</v>
      </c>
      <c r="Y32">
        <v>0.62073909999999999</v>
      </c>
      <c r="Z32">
        <v>0.67998800000000004</v>
      </c>
      <c r="AA32">
        <v>0.65036355999999995</v>
      </c>
      <c r="AB32">
        <v>0.34485285999999998</v>
      </c>
      <c r="AC32">
        <v>0.49674479999999999</v>
      </c>
      <c r="AD32">
        <v>0.42079884000000001</v>
      </c>
      <c r="AG32" t="s">
        <v>48</v>
      </c>
    </row>
    <row r="33" spans="1:33" x14ac:dyDescent="0.2">
      <c r="A33">
        <v>124</v>
      </c>
      <c r="B33" t="s">
        <v>507</v>
      </c>
      <c r="C33" t="s">
        <v>509</v>
      </c>
      <c r="D33" t="s">
        <v>42</v>
      </c>
      <c r="E33" t="s">
        <v>508</v>
      </c>
      <c r="F33" t="s">
        <v>510</v>
      </c>
      <c r="G33">
        <v>0</v>
      </c>
      <c r="H33">
        <v>1.3219223357737101E-2</v>
      </c>
      <c r="I33">
        <v>2.9411764815449701E-2</v>
      </c>
      <c r="J33">
        <v>5.6364100426435498E-2</v>
      </c>
      <c r="K33">
        <v>0.12854373455047599</v>
      </c>
      <c r="L33">
        <v>0</v>
      </c>
      <c r="M33">
        <v>1.34836077690125</v>
      </c>
      <c r="N33">
        <v>0.43718671798706099</v>
      </c>
      <c r="O33">
        <v>0.26842829585075401</v>
      </c>
      <c r="P33">
        <v>1</v>
      </c>
      <c r="Q33">
        <v>0.44945359230041498</v>
      </c>
      <c r="R33" t="s">
        <v>39</v>
      </c>
      <c r="S33" t="s">
        <v>511</v>
      </c>
      <c r="T33">
        <v>1.45406601656426</v>
      </c>
      <c r="U33">
        <v>6</v>
      </c>
      <c r="V33">
        <v>5</v>
      </c>
      <c r="W33" t="s">
        <v>508</v>
      </c>
      <c r="X33" t="s">
        <v>512</v>
      </c>
      <c r="Y33">
        <v>0.78326289999999998</v>
      </c>
      <c r="Z33">
        <v>0.70421020000000001</v>
      </c>
      <c r="AA33">
        <v>0.74373657000000004</v>
      </c>
      <c r="AB33">
        <v>0.52317230000000003</v>
      </c>
      <c r="AC33">
        <v>0.39562969999999997</v>
      </c>
      <c r="AD33">
        <v>0.459401</v>
      </c>
      <c r="AF33" t="s">
        <v>162</v>
      </c>
      <c r="AG33" t="s">
        <v>48</v>
      </c>
    </row>
    <row r="34" spans="1:33" x14ac:dyDescent="0.2">
      <c r="A34">
        <v>128</v>
      </c>
      <c r="B34" t="s">
        <v>515</v>
      </c>
      <c r="C34" t="s">
        <v>522</v>
      </c>
      <c r="D34" t="s">
        <v>46</v>
      </c>
      <c r="G34">
        <v>1.8072286620736101E-2</v>
      </c>
      <c r="H34">
        <v>0</v>
      </c>
      <c r="J34">
        <v>5.3045097738504403E-2</v>
      </c>
      <c r="K34">
        <v>3.4286249428987503E-2</v>
      </c>
      <c r="L34">
        <v>3</v>
      </c>
      <c r="M34">
        <v>0</v>
      </c>
      <c r="T34">
        <v>1.22927094266328</v>
      </c>
      <c r="U34">
        <v>4</v>
      </c>
      <c r="V34">
        <v>4</v>
      </c>
      <c r="W34" t="s">
        <v>520</v>
      </c>
      <c r="X34" t="s">
        <v>523</v>
      </c>
      <c r="Y34">
        <v>0.79574924999999996</v>
      </c>
      <c r="Z34">
        <v>0.75595909999999999</v>
      </c>
      <c r="AA34">
        <v>0.77585420000000005</v>
      </c>
      <c r="AB34">
        <v>0.32706863000000003</v>
      </c>
      <c r="AC34">
        <v>0.19173166</v>
      </c>
      <c r="AD34">
        <v>0.25940013000000001</v>
      </c>
      <c r="AE34" t="s">
        <v>72</v>
      </c>
      <c r="AF34" t="s">
        <v>76</v>
      </c>
      <c r="AG34" t="s">
        <v>48</v>
      </c>
    </row>
    <row r="35" spans="1:33" x14ac:dyDescent="0.2">
      <c r="A35">
        <v>133</v>
      </c>
      <c r="B35" t="s">
        <v>537</v>
      </c>
      <c r="C35" t="s">
        <v>544</v>
      </c>
      <c r="D35" t="s">
        <v>42</v>
      </c>
      <c r="E35" t="s">
        <v>542</v>
      </c>
      <c r="F35" t="s">
        <v>545</v>
      </c>
      <c r="G35">
        <v>0</v>
      </c>
      <c r="H35">
        <v>1.22961839661002E-2</v>
      </c>
      <c r="I35">
        <v>3.05343512445688E-2</v>
      </c>
      <c r="J35">
        <v>1.54140936210752E-2</v>
      </c>
      <c r="K35">
        <v>5.3921535611152697E-2</v>
      </c>
      <c r="L35">
        <v>0</v>
      </c>
      <c r="M35">
        <v>1.61080014705658</v>
      </c>
      <c r="N35">
        <v>0.43249297142028797</v>
      </c>
      <c r="O35">
        <v>0.34682574868202198</v>
      </c>
      <c r="P35">
        <v>0.78352451324462902</v>
      </c>
      <c r="Q35">
        <v>0.51395970582962003</v>
      </c>
      <c r="R35" t="s">
        <v>546</v>
      </c>
      <c r="S35" t="s">
        <v>547</v>
      </c>
      <c r="T35">
        <v>0.920194250040554</v>
      </c>
      <c r="U35">
        <v>6</v>
      </c>
      <c r="V35">
        <v>7</v>
      </c>
      <c r="W35" t="s">
        <v>542</v>
      </c>
      <c r="X35" t="s">
        <v>545</v>
      </c>
      <c r="Y35">
        <v>0.76075559999999998</v>
      </c>
      <c r="Z35">
        <v>0.75450640000000002</v>
      </c>
      <c r="AA35">
        <v>0.75763100000000005</v>
      </c>
      <c r="AB35">
        <v>0.24604156999999999</v>
      </c>
      <c r="AC35">
        <v>0.36404170000000002</v>
      </c>
      <c r="AD35">
        <v>0.30504160000000002</v>
      </c>
      <c r="AG35" t="s">
        <v>48</v>
      </c>
    </row>
    <row r="36" spans="1:33" x14ac:dyDescent="0.2">
      <c r="A36">
        <v>141</v>
      </c>
      <c r="B36" t="s">
        <v>572</v>
      </c>
      <c r="C36" t="s">
        <v>383</v>
      </c>
      <c r="D36" t="s">
        <v>35</v>
      </c>
      <c r="E36" t="s">
        <v>573</v>
      </c>
      <c r="F36" t="s">
        <v>384</v>
      </c>
      <c r="G36">
        <v>0.181434631347656</v>
      </c>
      <c r="H36">
        <v>2.4752475321292901E-2</v>
      </c>
      <c r="I36">
        <v>4.9504950642585803E-2</v>
      </c>
      <c r="J36">
        <v>0.29971656203269997</v>
      </c>
      <c r="K36">
        <v>0.26579999923706099</v>
      </c>
      <c r="L36">
        <v>43</v>
      </c>
      <c r="M36">
        <v>2.5</v>
      </c>
      <c r="N36">
        <v>0.42174944281578097</v>
      </c>
      <c r="O36">
        <v>0.406821429729462</v>
      </c>
      <c r="P36">
        <v>1</v>
      </c>
      <c r="Q36">
        <v>0.5</v>
      </c>
      <c r="R36" t="s">
        <v>39</v>
      </c>
      <c r="S36" t="s">
        <v>574</v>
      </c>
      <c r="T36">
        <v>1.2777251802918199</v>
      </c>
      <c r="U36">
        <v>6</v>
      </c>
      <c r="V36">
        <v>5</v>
      </c>
      <c r="W36" t="s">
        <v>573</v>
      </c>
      <c r="X36" t="s">
        <v>384</v>
      </c>
      <c r="Y36">
        <v>0.76172779999999995</v>
      </c>
      <c r="Z36">
        <v>0.78923094000000005</v>
      </c>
      <c r="AA36">
        <v>0.77547940000000004</v>
      </c>
      <c r="AB36">
        <v>0.38268942</v>
      </c>
      <c r="AC36">
        <v>0.15093202999999999</v>
      </c>
      <c r="AD36">
        <v>0.26681072</v>
      </c>
      <c r="AG36" t="s">
        <v>48</v>
      </c>
    </row>
    <row r="37" spans="1:33" x14ac:dyDescent="0.2">
      <c r="A37">
        <v>145</v>
      </c>
      <c r="B37" t="s">
        <v>580</v>
      </c>
      <c r="C37" t="s">
        <v>587</v>
      </c>
      <c r="D37" t="s">
        <v>42</v>
      </c>
      <c r="E37" t="s">
        <v>582</v>
      </c>
      <c r="F37" t="s">
        <v>588</v>
      </c>
      <c r="G37">
        <v>0</v>
      </c>
      <c r="H37">
        <v>1.5715979039668999E-2</v>
      </c>
      <c r="I37">
        <v>2.5862069800496101E-2</v>
      </c>
      <c r="J37">
        <v>7.4206314980983706E-2</v>
      </c>
      <c r="K37">
        <v>0.20728118717670399</v>
      </c>
      <c r="L37">
        <v>0</v>
      </c>
      <c r="M37">
        <v>1.82305347919464</v>
      </c>
      <c r="N37">
        <v>0.23080249130725899</v>
      </c>
      <c r="O37">
        <v>0.25990962982177701</v>
      </c>
      <c r="P37">
        <v>0.60768449306488004</v>
      </c>
      <c r="Q37">
        <v>1</v>
      </c>
      <c r="R37" t="s">
        <v>584</v>
      </c>
      <c r="S37" t="s">
        <v>39</v>
      </c>
      <c r="T37">
        <v>0.97372669741194995</v>
      </c>
      <c r="U37">
        <v>5</v>
      </c>
      <c r="V37">
        <v>4</v>
      </c>
      <c r="W37" t="s">
        <v>582</v>
      </c>
      <c r="X37" t="s">
        <v>588</v>
      </c>
      <c r="Y37">
        <v>0.68423509999999998</v>
      </c>
      <c r="Z37">
        <v>0.75890665999999996</v>
      </c>
      <c r="AA37">
        <v>0.72157084999999999</v>
      </c>
      <c r="AB37">
        <v>0.26644859999999998</v>
      </c>
      <c r="AC37">
        <v>0.42403856000000001</v>
      </c>
      <c r="AD37">
        <v>0.34524357</v>
      </c>
      <c r="AF37" t="s">
        <v>569</v>
      </c>
      <c r="AG37" t="s">
        <v>48</v>
      </c>
    </row>
    <row r="38" spans="1:33" x14ac:dyDescent="0.2">
      <c r="A38">
        <v>149</v>
      </c>
      <c r="B38" t="s">
        <v>591</v>
      </c>
      <c r="C38" t="s">
        <v>599</v>
      </c>
      <c r="D38" t="s">
        <v>46</v>
      </c>
      <c r="G38">
        <v>3.7209298461675602E-2</v>
      </c>
      <c r="H38">
        <v>0</v>
      </c>
      <c r="J38">
        <v>0.218114763498306</v>
      </c>
      <c r="K38">
        <v>3.9099998772144297E-2</v>
      </c>
      <c r="L38">
        <v>8</v>
      </c>
      <c r="M38">
        <v>0</v>
      </c>
      <c r="T38">
        <v>1.2471788875924801</v>
      </c>
      <c r="U38">
        <v>4</v>
      </c>
      <c r="V38">
        <v>6</v>
      </c>
      <c r="W38" t="s">
        <v>593</v>
      </c>
      <c r="X38" t="s">
        <v>600</v>
      </c>
      <c r="Y38">
        <v>0.76299315999999995</v>
      </c>
      <c r="Z38">
        <v>0.67815130000000001</v>
      </c>
      <c r="AA38">
        <v>0.72057223000000004</v>
      </c>
      <c r="AB38">
        <v>0.49154229999999999</v>
      </c>
      <c r="AC38">
        <v>0.13731396000000001</v>
      </c>
      <c r="AD38">
        <v>0.31442815000000002</v>
      </c>
      <c r="AG38" t="s">
        <v>48</v>
      </c>
    </row>
    <row r="39" spans="1:33" x14ac:dyDescent="0.2">
      <c r="A39">
        <v>152</v>
      </c>
      <c r="B39" t="s">
        <v>601</v>
      </c>
      <c r="C39" t="s">
        <v>607</v>
      </c>
      <c r="D39" t="s">
        <v>46</v>
      </c>
      <c r="G39">
        <v>2.8735630214214301E-2</v>
      </c>
      <c r="H39">
        <v>0</v>
      </c>
      <c r="J39">
        <v>0.16388459503650701</v>
      </c>
      <c r="K39">
        <v>3.7099998444318799E-2</v>
      </c>
      <c r="L39">
        <v>5</v>
      </c>
      <c r="M39">
        <v>0</v>
      </c>
      <c r="T39">
        <v>1.4511319379524501</v>
      </c>
      <c r="U39">
        <v>5</v>
      </c>
      <c r="V39">
        <v>5</v>
      </c>
      <c r="W39" t="s">
        <v>602</v>
      </c>
      <c r="X39" t="s">
        <v>608</v>
      </c>
      <c r="Y39">
        <v>0.65414225999999998</v>
      </c>
      <c r="Z39">
        <v>0.72209524999999997</v>
      </c>
      <c r="AA39">
        <v>0.68811876000000005</v>
      </c>
      <c r="AB39">
        <v>0.78845310000000002</v>
      </c>
      <c r="AC39">
        <v>7.7733869999999997E-2</v>
      </c>
      <c r="AD39">
        <v>0.43309350000000002</v>
      </c>
      <c r="AG39" t="s">
        <v>48</v>
      </c>
    </row>
    <row r="40" spans="1:33" x14ac:dyDescent="0.2">
      <c r="A40">
        <v>153</v>
      </c>
      <c r="B40" t="s">
        <v>609</v>
      </c>
      <c r="C40" t="s">
        <v>610</v>
      </c>
      <c r="D40" t="s">
        <v>35</v>
      </c>
      <c r="E40" t="s">
        <v>611</v>
      </c>
      <c r="F40" t="s">
        <v>612</v>
      </c>
      <c r="G40">
        <v>5.6179776787757901E-2</v>
      </c>
      <c r="H40">
        <v>1.6304347664117799E-2</v>
      </c>
      <c r="I40">
        <v>9.7826085984706906E-2</v>
      </c>
      <c r="J40">
        <v>0.391115993261337</v>
      </c>
      <c r="K40">
        <v>8.10833349823952E-2</v>
      </c>
      <c r="L40">
        <v>10</v>
      </c>
      <c r="M40">
        <v>1.5</v>
      </c>
      <c r="N40">
        <v>0.36518272757530201</v>
      </c>
      <c r="O40">
        <v>0.389264285564423</v>
      </c>
      <c r="P40">
        <v>0.5</v>
      </c>
      <c r="Q40">
        <v>0.33333334326744102</v>
      </c>
      <c r="R40" t="s">
        <v>613</v>
      </c>
      <c r="S40" t="s">
        <v>614</v>
      </c>
      <c r="T40">
        <v>0.83493893878255598</v>
      </c>
      <c r="U40">
        <v>5</v>
      </c>
      <c r="V40">
        <v>4</v>
      </c>
      <c r="W40" t="s">
        <v>611</v>
      </c>
      <c r="X40" t="s">
        <v>615</v>
      </c>
      <c r="Y40">
        <v>0.74247134000000004</v>
      </c>
      <c r="Z40">
        <v>0.74594740000000004</v>
      </c>
      <c r="AA40">
        <v>0.74420940000000002</v>
      </c>
      <c r="AB40">
        <v>0.24318637000000001</v>
      </c>
      <c r="AC40">
        <v>0.19057104999999999</v>
      </c>
      <c r="AD40">
        <v>0.21687871</v>
      </c>
      <c r="AG40" t="s">
        <v>48</v>
      </c>
    </row>
    <row r="41" spans="1:33" x14ac:dyDescent="0.2">
      <c r="A41">
        <v>156</v>
      </c>
      <c r="B41" t="s">
        <v>623</v>
      </c>
      <c r="C41" t="s">
        <v>624</v>
      </c>
      <c r="D41" t="s">
        <v>35</v>
      </c>
      <c r="E41" t="s">
        <v>625</v>
      </c>
      <c r="F41" t="s">
        <v>626</v>
      </c>
      <c r="G41">
        <v>0.14285713434219399</v>
      </c>
      <c r="H41">
        <v>1.20392693206668E-2</v>
      </c>
      <c r="I41">
        <v>5.0505049526691402E-2</v>
      </c>
      <c r="J41">
        <v>0.123941317200661</v>
      </c>
      <c r="K41">
        <v>0.18001596629619601</v>
      </c>
      <c r="L41">
        <v>26</v>
      </c>
      <c r="M41">
        <v>1.3965551853179901</v>
      </c>
      <c r="N41">
        <v>0.40051132440567</v>
      </c>
      <c r="O41">
        <v>0.39208179712295499</v>
      </c>
      <c r="P41">
        <v>0.28281918168067899</v>
      </c>
      <c r="Q41">
        <v>0.389456957578659</v>
      </c>
      <c r="R41" t="s">
        <v>627</v>
      </c>
      <c r="S41" t="s">
        <v>628</v>
      </c>
      <c r="T41">
        <v>0.84960392554973196</v>
      </c>
      <c r="U41">
        <v>5</v>
      </c>
      <c r="V41">
        <v>4</v>
      </c>
      <c r="W41" t="s">
        <v>629</v>
      </c>
      <c r="X41" t="s">
        <v>626</v>
      </c>
      <c r="Y41">
        <v>0.48890853000000001</v>
      </c>
      <c r="Z41">
        <v>0.80540376999999996</v>
      </c>
      <c r="AA41">
        <v>0.64715610000000001</v>
      </c>
      <c r="AB41">
        <v>8.1536955999999994E-2</v>
      </c>
      <c r="AC41">
        <v>0.43292550000000002</v>
      </c>
      <c r="AD41">
        <v>0.25723124000000003</v>
      </c>
      <c r="AG41" t="s">
        <v>48</v>
      </c>
    </row>
    <row r="42" spans="1:33" x14ac:dyDescent="0.2">
      <c r="A42">
        <v>164</v>
      </c>
      <c r="B42" t="s">
        <v>642</v>
      </c>
      <c r="C42" t="s">
        <v>650</v>
      </c>
      <c r="D42" t="s">
        <v>46</v>
      </c>
      <c r="G42">
        <v>0.123762384057045</v>
      </c>
      <c r="H42">
        <v>0</v>
      </c>
      <c r="J42">
        <v>9.1732889413833604E-2</v>
      </c>
      <c r="K42">
        <v>2.0636435598135001E-2</v>
      </c>
      <c r="L42">
        <v>25</v>
      </c>
      <c r="M42">
        <v>0</v>
      </c>
      <c r="T42">
        <v>0.29073192437843698</v>
      </c>
      <c r="U42">
        <v>5</v>
      </c>
      <c r="V42">
        <v>5</v>
      </c>
      <c r="W42" t="s">
        <v>644</v>
      </c>
      <c r="X42" t="s">
        <v>651</v>
      </c>
      <c r="Y42">
        <v>0.68939375999999997</v>
      </c>
      <c r="Z42">
        <v>0.70774420000000005</v>
      </c>
      <c r="AA42">
        <v>0.69856894000000003</v>
      </c>
      <c r="AB42">
        <v>0.10314945</v>
      </c>
      <c r="AC42">
        <v>0.15875797</v>
      </c>
      <c r="AD42">
        <v>0.13095371</v>
      </c>
      <c r="AG42" t="s">
        <v>48</v>
      </c>
    </row>
    <row r="43" spans="1:33" x14ac:dyDescent="0.2">
      <c r="A43">
        <v>169</v>
      </c>
      <c r="B43" t="s">
        <v>663</v>
      </c>
      <c r="C43" t="s">
        <v>670</v>
      </c>
      <c r="D43" t="s">
        <v>42</v>
      </c>
      <c r="E43" t="s">
        <v>669</v>
      </c>
      <c r="F43" t="s">
        <v>671</v>
      </c>
      <c r="G43">
        <v>0</v>
      </c>
      <c r="H43">
        <v>1.2599157169461301E-2</v>
      </c>
      <c r="I43">
        <v>3.7037037312984501E-2</v>
      </c>
      <c r="J43">
        <v>2.30488609522581E-2</v>
      </c>
      <c r="K43">
        <v>6.12999349832535E-2</v>
      </c>
      <c r="L43">
        <v>0</v>
      </c>
      <c r="M43">
        <v>1.0205316543579099</v>
      </c>
      <c r="N43">
        <v>0.50515705347061202</v>
      </c>
      <c r="O43">
        <v>0.51188826560974099</v>
      </c>
      <c r="P43">
        <v>0.68035447597503695</v>
      </c>
      <c r="Q43">
        <v>0.5</v>
      </c>
      <c r="R43" t="s">
        <v>672</v>
      </c>
      <c r="S43" t="s">
        <v>673</v>
      </c>
      <c r="T43">
        <v>1.0557947870661299</v>
      </c>
      <c r="U43">
        <v>6</v>
      </c>
      <c r="V43">
        <v>4</v>
      </c>
      <c r="W43" t="s">
        <v>669</v>
      </c>
      <c r="X43" t="s">
        <v>671</v>
      </c>
      <c r="Y43">
        <v>0.77477074000000001</v>
      </c>
      <c r="Z43">
        <v>0.75772154000000003</v>
      </c>
      <c r="AA43">
        <v>0.76624614000000002</v>
      </c>
      <c r="AB43">
        <v>0.36413259999999997</v>
      </c>
      <c r="AC43">
        <v>0.18096685000000001</v>
      </c>
      <c r="AD43">
        <v>0.27254974999999998</v>
      </c>
      <c r="AG43" t="s">
        <v>48</v>
      </c>
    </row>
    <row r="44" spans="1:33" x14ac:dyDescent="0.2">
      <c r="A44">
        <v>171</v>
      </c>
      <c r="B44" t="s">
        <v>676</v>
      </c>
      <c r="C44" t="s">
        <v>400</v>
      </c>
      <c r="D44" t="s">
        <v>35</v>
      </c>
      <c r="E44" t="s">
        <v>677</v>
      </c>
      <c r="F44" t="s">
        <v>402</v>
      </c>
      <c r="G44">
        <v>2.9268288984894801E-2</v>
      </c>
      <c r="H44">
        <v>1.31578948348761E-2</v>
      </c>
      <c r="I44">
        <v>5.2631579339504242E-2</v>
      </c>
      <c r="J44">
        <v>0.29533958435058599</v>
      </c>
      <c r="K44">
        <v>0.101250000298023</v>
      </c>
      <c r="L44">
        <v>6</v>
      </c>
      <c r="M44">
        <v>1</v>
      </c>
      <c r="N44">
        <v>0.50379550457000699</v>
      </c>
      <c r="O44">
        <v>0.29991933703422502</v>
      </c>
      <c r="P44">
        <v>0.5</v>
      </c>
      <c r="Q44">
        <v>0.5</v>
      </c>
      <c r="R44" t="s">
        <v>678</v>
      </c>
      <c r="S44" t="s">
        <v>404</v>
      </c>
      <c r="T44">
        <v>1.2143304199590199</v>
      </c>
      <c r="U44">
        <v>5</v>
      </c>
      <c r="V44">
        <v>4</v>
      </c>
      <c r="W44" t="s">
        <v>677</v>
      </c>
      <c r="X44" t="s">
        <v>405</v>
      </c>
      <c r="Y44">
        <v>0.73174340000000004</v>
      </c>
      <c r="Z44">
        <v>0.75006764999999997</v>
      </c>
      <c r="AA44">
        <v>0.74090549999999999</v>
      </c>
      <c r="AB44">
        <v>0.20821120000000001</v>
      </c>
      <c r="AC44">
        <v>0.49417633</v>
      </c>
      <c r="AD44">
        <v>0.35119376000000002</v>
      </c>
      <c r="AE44" t="s">
        <v>72</v>
      </c>
      <c r="AF44" t="s">
        <v>76</v>
      </c>
      <c r="AG44" t="s">
        <v>48</v>
      </c>
    </row>
    <row r="45" spans="1:33" x14ac:dyDescent="0.2">
      <c r="A45">
        <v>175</v>
      </c>
      <c r="B45" t="s">
        <v>683</v>
      </c>
      <c r="C45" t="s">
        <v>689</v>
      </c>
      <c r="D45" t="s">
        <v>42</v>
      </c>
      <c r="E45" t="s">
        <v>685</v>
      </c>
      <c r="F45" t="s">
        <v>690</v>
      </c>
      <c r="G45">
        <v>0</v>
      </c>
      <c r="H45">
        <v>2.2716861218214E-2</v>
      </c>
      <c r="I45">
        <v>3.3333335071802098E-2</v>
      </c>
      <c r="J45">
        <v>7.5658582150936099E-2</v>
      </c>
      <c r="K45">
        <v>0.136573761701584</v>
      </c>
      <c r="L45">
        <v>0</v>
      </c>
      <c r="M45">
        <v>2.0445175170898402</v>
      </c>
      <c r="N45">
        <v>0.44697305560112</v>
      </c>
      <c r="O45">
        <v>0.35836344957351701</v>
      </c>
      <c r="P45">
        <v>1</v>
      </c>
      <c r="Q45">
        <v>0.68150579929351796</v>
      </c>
      <c r="R45" t="s">
        <v>39</v>
      </c>
      <c r="S45" t="s">
        <v>691</v>
      </c>
      <c r="T45">
        <v>1.1518270651364599</v>
      </c>
      <c r="U45">
        <v>6</v>
      </c>
      <c r="V45">
        <v>6</v>
      </c>
      <c r="W45" t="s">
        <v>685</v>
      </c>
      <c r="X45" t="s">
        <v>690</v>
      </c>
      <c r="Y45">
        <v>0.71423080000000005</v>
      </c>
      <c r="Z45">
        <v>0.56731725</v>
      </c>
      <c r="AA45">
        <v>0.64077399999999995</v>
      </c>
      <c r="AB45">
        <v>0.46361839999999999</v>
      </c>
      <c r="AC45">
        <v>0.20484553</v>
      </c>
      <c r="AD45">
        <v>0.33423196999999999</v>
      </c>
      <c r="AF45" t="s">
        <v>569</v>
      </c>
      <c r="AG45" t="s">
        <v>48</v>
      </c>
    </row>
    <row r="46" spans="1:33" x14ac:dyDescent="0.2">
      <c r="A46">
        <v>178</v>
      </c>
      <c r="B46" t="s">
        <v>694</v>
      </c>
      <c r="C46" t="s">
        <v>496</v>
      </c>
      <c r="D46" t="s">
        <v>42</v>
      </c>
      <c r="E46" t="s">
        <v>699</v>
      </c>
      <c r="F46" t="s">
        <v>498</v>
      </c>
      <c r="G46">
        <v>0</v>
      </c>
      <c r="H46">
        <v>1.1252229101955899E-2</v>
      </c>
      <c r="I46">
        <v>2.9126213863492002E-2</v>
      </c>
      <c r="J46">
        <v>2.66870576888323E-2</v>
      </c>
      <c r="K46">
        <v>0.10971673578023899</v>
      </c>
      <c r="L46">
        <v>0</v>
      </c>
      <c r="M46">
        <v>1.15897953510284</v>
      </c>
      <c r="N46">
        <v>0.26016259193420399</v>
      </c>
      <c r="O46">
        <v>0.56852078437805198</v>
      </c>
      <c r="P46">
        <v>0.38632652163505599</v>
      </c>
      <c r="Q46">
        <v>1</v>
      </c>
      <c r="R46" t="s">
        <v>700</v>
      </c>
      <c r="S46" t="s">
        <v>39</v>
      </c>
      <c r="T46">
        <v>1.3263068664452899</v>
      </c>
      <c r="U46">
        <v>6</v>
      </c>
      <c r="V46">
        <v>4</v>
      </c>
      <c r="W46" t="s">
        <v>699</v>
      </c>
      <c r="X46" t="s">
        <v>498</v>
      </c>
      <c r="Y46">
        <v>0.71597356000000001</v>
      </c>
      <c r="Z46">
        <v>0.84596760000000004</v>
      </c>
      <c r="AA46">
        <v>0.78097059999999996</v>
      </c>
      <c r="AB46">
        <v>0.20806131999999999</v>
      </c>
      <c r="AC46">
        <v>0.49032252999999998</v>
      </c>
      <c r="AD46">
        <v>0.34919192999999998</v>
      </c>
      <c r="AG46" t="s">
        <v>48</v>
      </c>
    </row>
    <row r="47" spans="1:33" x14ac:dyDescent="0.2">
      <c r="A47">
        <v>181</v>
      </c>
      <c r="B47" t="s">
        <v>703</v>
      </c>
      <c r="C47" t="s">
        <v>706</v>
      </c>
      <c r="D47" t="s">
        <v>42</v>
      </c>
      <c r="E47" t="s">
        <v>704</v>
      </c>
      <c r="F47" t="s">
        <v>707</v>
      </c>
      <c r="G47">
        <v>0</v>
      </c>
      <c r="H47">
        <v>1.48404156789184E-2</v>
      </c>
      <c r="I47">
        <v>4.34782616794109E-2</v>
      </c>
      <c r="J47">
        <v>3.25950942933559E-2</v>
      </c>
      <c r="K47">
        <v>2.4340046569704999E-2</v>
      </c>
      <c r="L47">
        <v>0</v>
      </c>
      <c r="M47">
        <v>1.36531817913055</v>
      </c>
      <c r="N47">
        <v>0.45260789990425099</v>
      </c>
      <c r="O47">
        <v>0.39546835422515902</v>
      </c>
      <c r="P47">
        <v>0.68265908956527699</v>
      </c>
      <c r="Q47">
        <v>0.5</v>
      </c>
      <c r="R47" t="s">
        <v>705</v>
      </c>
      <c r="S47" t="s">
        <v>708</v>
      </c>
      <c r="T47">
        <v>0.60728146768704205</v>
      </c>
      <c r="U47">
        <v>4</v>
      </c>
      <c r="V47">
        <v>3</v>
      </c>
      <c r="W47" t="s">
        <v>704</v>
      </c>
      <c r="X47" t="s">
        <v>709</v>
      </c>
      <c r="Y47">
        <v>0.75442929999999997</v>
      </c>
      <c r="Z47">
        <v>0.78652537</v>
      </c>
      <c r="AA47">
        <v>0.77047730000000003</v>
      </c>
      <c r="AB47">
        <v>0.26293070000000002</v>
      </c>
      <c r="AC47">
        <v>0.68508409999999997</v>
      </c>
      <c r="AD47">
        <v>0.47400740000000002</v>
      </c>
      <c r="AG47" t="s">
        <v>48</v>
      </c>
    </row>
    <row r="48" spans="1:33" x14ac:dyDescent="0.2">
      <c r="A48">
        <v>185</v>
      </c>
      <c r="B48" t="s">
        <v>712</v>
      </c>
      <c r="C48" t="s">
        <v>718</v>
      </c>
      <c r="D48" t="s">
        <v>46</v>
      </c>
      <c r="G48">
        <v>4.78723421692848E-2</v>
      </c>
      <c r="H48">
        <v>0</v>
      </c>
      <c r="J48">
        <v>6.6915161907672799E-2</v>
      </c>
      <c r="K48">
        <v>5.5380184203386003E-3</v>
      </c>
      <c r="L48">
        <v>9</v>
      </c>
      <c r="M48">
        <v>0</v>
      </c>
      <c r="T48">
        <v>1.4545177557706099</v>
      </c>
      <c r="U48">
        <v>6</v>
      </c>
      <c r="V48">
        <v>5</v>
      </c>
      <c r="W48" t="s">
        <v>714</v>
      </c>
      <c r="X48" t="s">
        <v>719</v>
      </c>
      <c r="Y48">
        <v>0.80626209999999998</v>
      </c>
      <c r="Z48">
        <v>0.69549214999999998</v>
      </c>
      <c r="AA48">
        <v>0.75087714000000005</v>
      </c>
      <c r="AB48">
        <v>8.3157844999999994E-2</v>
      </c>
      <c r="AC48">
        <v>2.3742561999999998E-2</v>
      </c>
      <c r="AD48">
        <v>5.3450204000000001E-2</v>
      </c>
      <c r="AG48" t="s">
        <v>48</v>
      </c>
    </row>
    <row r="49" spans="1:33" x14ac:dyDescent="0.2">
      <c r="A49">
        <v>189</v>
      </c>
      <c r="B49" t="s">
        <v>727</v>
      </c>
      <c r="C49" t="s">
        <v>728</v>
      </c>
      <c r="D49" t="s">
        <v>35</v>
      </c>
      <c r="E49" t="s">
        <v>729</v>
      </c>
      <c r="F49" t="s">
        <v>730</v>
      </c>
      <c r="G49">
        <v>2.3952102288603699E-2</v>
      </c>
      <c r="H49">
        <v>2.6715736836194898E-2</v>
      </c>
      <c r="I49">
        <v>7.3394492268562303E-2</v>
      </c>
      <c r="J49">
        <v>0.18586774170398701</v>
      </c>
      <c r="K49">
        <v>0.19310301542282099</v>
      </c>
      <c r="L49">
        <v>4</v>
      </c>
      <c r="M49">
        <v>2.91201543807983</v>
      </c>
      <c r="N49">
        <v>0.322683215141296</v>
      </c>
      <c r="O49">
        <v>0.48786827921867398</v>
      </c>
      <c r="P49">
        <v>0.36400192975997903</v>
      </c>
      <c r="Q49">
        <v>1</v>
      </c>
      <c r="R49" t="s">
        <v>731</v>
      </c>
      <c r="S49" t="s">
        <v>39</v>
      </c>
      <c r="T49">
        <v>1.2940214451001799</v>
      </c>
      <c r="U49">
        <v>6</v>
      </c>
      <c r="V49">
        <v>7</v>
      </c>
      <c r="W49" t="s">
        <v>732</v>
      </c>
      <c r="X49" t="s">
        <v>730</v>
      </c>
      <c r="Y49">
        <v>0.64933629999999998</v>
      </c>
      <c r="Z49">
        <v>0.76907210000000004</v>
      </c>
      <c r="AA49">
        <v>0.70920419999999995</v>
      </c>
      <c r="AB49">
        <v>4.8217030000000001E-2</v>
      </c>
      <c r="AC49">
        <v>4.6734363000000001E-2</v>
      </c>
      <c r="AD49">
        <v>4.7475695999999998E-2</v>
      </c>
      <c r="AG49" t="s">
        <v>48</v>
      </c>
    </row>
    <row r="50" spans="1:33" x14ac:dyDescent="0.2">
      <c r="A50">
        <v>195</v>
      </c>
      <c r="B50" t="s">
        <v>77</v>
      </c>
      <c r="C50" t="s">
        <v>538</v>
      </c>
      <c r="D50" t="s">
        <v>736</v>
      </c>
      <c r="G50">
        <v>0</v>
      </c>
      <c r="H50">
        <v>0</v>
      </c>
      <c r="J50">
        <v>5.1633980125188828E-2</v>
      </c>
      <c r="K50">
        <v>1.350892428308725E-2</v>
      </c>
      <c r="L50">
        <v>0</v>
      </c>
      <c r="M50">
        <v>0</v>
      </c>
      <c r="U50">
        <v>4</v>
      </c>
      <c r="V50">
        <v>7</v>
      </c>
      <c r="W50" t="s">
        <v>82</v>
      </c>
      <c r="X50" t="s">
        <v>543</v>
      </c>
      <c r="AG50" t="s">
        <v>48</v>
      </c>
    </row>
    <row r="51" spans="1:33" x14ac:dyDescent="0.2">
      <c r="A51">
        <v>197</v>
      </c>
      <c r="B51" t="s">
        <v>104</v>
      </c>
      <c r="C51" t="s">
        <v>721</v>
      </c>
      <c r="D51" t="s">
        <v>736</v>
      </c>
      <c r="G51">
        <v>0</v>
      </c>
      <c r="H51">
        <v>0</v>
      </c>
      <c r="J51">
        <v>9.5564248040318489E-3</v>
      </c>
      <c r="K51">
        <v>1.092536188662052E-2</v>
      </c>
      <c r="L51">
        <v>0</v>
      </c>
      <c r="M51">
        <v>0</v>
      </c>
      <c r="U51">
        <v>5</v>
      </c>
      <c r="V51">
        <v>5</v>
      </c>
      <c r="W51" t="s">
        <v>106</v>
      </c>
      <c r="X51" t="s">
        <v>723</v>
      </c>
      <c r="AG51" t="s">
        <v>48</v>
      </c>
    </row>
    <row r="52" spans="1:33" x14ac:dyDescent="0.2">
      <c r="A52">
        <v>199</v>
      </c>
      <c r="B52" t="s">
        <v>131</v>
      </c>
      <c r="C52" t="s">
        <v>372</v>
      </c>
      <c r="D52" t="s">
        <v>736</v>
      </c>
      <c r="G52">
        <v>0</v>
      </c>
      <c r="H52">
        <v>0</v>
      </c>
      <c r="J52">
        <v>1.959377899765968E-2</v>
      </c>
      <c r="K52">
        <v>3.7733335047960281E-2</v>
      </c>
      <c r="L52">
        <v>0</v>
      </c>
      <c r="M52">
        <v>0</v>
      </c>
      <c r="U52">
        <v>5</v>
      </c>
      <c r="V52">
        <v>6</v>
      </c>
      <c r="W52" t="s">
        <v>136</v>
      </c>
      <c r="X52" t="s">
        <v>374</v>
      </c>
      <c r="AG52" t="s">
        <v>48</v>
      </c>
    </row>
    <row r="53" spans="1:33" x14ac:dyDescent="0.2">
      <c r="A53">
        <v>205</v>
      </c>
      <c r="B53" t="s">
        <v>206</v>
      </c>
      <c r="C53" t="s">
        <v>50</v>
      </c>
      <c r="D53" t="s">
        <v>736</v>
      </c>
      <c r="G53">
        <v>0</v>
      </c>
      <c r="H53">
        <v>0</v>
      </c>
      <c r="J53">
        <v>3.5251438617706299E-2</v>
      </c>
      <c r="K53">
        <v>1.261823624372482E-2</v>
      </c>
      <c r="L53">
        <v>0</v>
      </c>
      <c r="M53">
        <v>0</v>
      </c>
      <c r="U53">
        <v>4</v>
      </c>
      <c r="V53">
        <v>6</v>
      </c>
      <c r="W53" t="s">
        <v>212</v>
      </c>
      <c r="X53" t="s">
        <v>52</v>
      </c>
      <c r="AG53" t="s">
        <v>48</v>
      </c>
    </row>
    <row r="54" spans="1:33" x14ac:dyDescent="0.2">
      <c r="A54">
        <v>206</v>
      </c>
      <c r="B54" t="s">
        <v>219</v>
      </c>
      <c r="C54" t="s">
        <v>561</v>
      </c>
      <c r="D54" t="s">
        <v>736</v>
      </c>
      <c r="G54">
        <v>0</v>
      </c>
      <c r="H54">
        <v>0</v>
      </c>
      <c r="J54">
        <v>3.0101785436272621E-2</v>
      </c>
      <c r="K54">
        <v>2.7400000020861629E-2</v>
      </c>
      <c r="L54">
        <v>0</v>
      </c>
      <c r="M54">
        <v>0</v>
      </c>
      <c r="U54">
        <v>5</v>
      </c>
      <c r="V54">
        <v>6</v>
      </c>
      <c r="W54" t="s">
        <v>221</v>
      </c>
      <c r="X54" t="s">
        <v>563</v>
      </c>
      <c r="AG54" t="s">
        <v>48</v>
      </c>
    </row>
    <row r="55" spans="1:33" x14ac:dyDescent="0.2">
      <c r="A55">
        <v>210</v>
      </c>
      <c r="B55" t="s">
        <v>264</v>
      </c>
      <c r="C55" t="s">
        <v>253</v>
      </c>
      <c r="D55" t="s">
        <v>736</v>
      </c>
      <c r="G55">
        <v>0</v>
      </c>
      <c r="H55">
        <v>0</v>
      </c>
      <c r="J55">
        <v>2.0136328414082531E-2</v>
      </c>
      <c r="K55">
        <v>1.4671264216303831E-2</v>
      </c>
      <c r="L55">
        <v>0</v>
      </c>
      <c r="M55">
        <v>0</v>
      </c>
      <c r="U55">
        <v>6</v>
      </c>
      <c r="V55">
        <v>6</v>
      </c>
      <c r="W55" t="s">
        <v>266</v>
      </c>
      <c r="X55" t="s">
        <v>255</v>
      </c>
      <c r="AG55" t="s">
        <v>48</v>
      </c>
    </row>
    <row r="56" spans="1:33" x14ac:dyDescent="0.2">
      <c r="A56">
        <v>211</v>
      </c>
      <c r="B56" t="s">
        <v>273</v>
      </c>
      <c r="C56" t="s">
        <v>132</v>
      </c>
      <c r="D56" t="s">
        <v>736</v>
      </c>
      <c r="G56">
        <v>0</v>
      </c>
      <c r="H56">
        <v>0</v>
      </c>
      <c r="J56">
        <v>3.5572569817304611E-2</v>
      </c>
      <c r="K56">
        <v>1.175571978092194E-2</v>
      </c>
      <c r="L56">
        <v>0</v>
      </c>
      <c r="M56">
        <v>0</v>
      </c>
      <c r="U56">
        <v>6</v>
      </c>
      <c r="V56">
        <v>6</v>
      </c>
      <c r="W56" t="s">
        <v>279</v>
      </c>
      <c r="X56" t="s">
        <v>134</v>
      </c>
      <c r="AG56" t="s">
        <v>48</v>
      </c>
    </row>
    <row r="57" spans="1:33" x14ac:dyDescent="0.2">
      <c r="A57">
        <v>216</v>
      </c>
      <c r="B57" t="s">
        <v>329</v>
      </c>
      <c r="C57" t="s">
        <v>551</v>
      </c>
      <c r="D57" t="s">
        <v>736</v>
      </c>
      <c r="G57">
        <v>0</v>
      </c>
      <c r="H57">
        <v>0</v>
      </c>
      <c r="J57">
        <v>3.056039847433567E-2</v>
      </c>
      <c r="K57">
        <v>7.2123855352401733E-3</v>
      </c>
      <c r="L57">
        <v>0</v>
      </c>
      <c r="M57">
        <v>0</v>
      </c>
      <c r="U57">
        <v>5</v>
      </c>
      <c r="V57">
        <v>6</v>
      </c>
      <c r="W57" t="s">
        <v>335</v>
      </c>
      <c r="X57" t="s">
        <v>553</v>
      </c>
      <c r="AG57" t="s">
        <v>48</v>
      </c>
    </row>
    <row r="58" spans="1:33" x14ac:dyDescent="0.2">
      <c r="A58">
        <v>225</v>
      </c>
      <c r="B58" t="s">
        <v>418</v>
      </c>
      <c r="C58" t="s">
        <v>321</v>
      </c>
      <c r="D58" t="s">
        <v>736</v>
      </c>
      <c r="G58">
        <v>0</v>
      </c>
      <c r="H58">
        <v>0</v>
      </c>
      <c r="J58">
        <v>5.1943648606538773E-2</v>
      </c>
      <c r="K58">
        <v>7.6391114853322506E-3</v>
      </c>
      <c r="L58">
        <v>0</v>
      </c>
      <c r="M58">
        <v>0</v>
      </c>
      <c r="U58">
        <v>6</v>
      </c>
      <c r="V58">
        <v>4</v>
      </c>
      <c r="W58" t="s">
        <v>420</v>
      </c>
      <c r="X58" t="s">
        <v>325</v>
      </c>
      <c r="AG58" t="s">
        <v>48</v>
      </c>
    </row>
    <row r="59" spans="1:33" x14ac:dyDescent="0.2">
      <c r="A59">
        <v>232</v>
      </c>
      <c r="B59" t="s">
        <v>495</v>
      </c>
      <c r="C59" t="s">
        <v>386</v>
      </c>
      <c r="D59" t="s">
        <v>736</v>
      </c>
      <c r="G59">
        <v>0</v>
      </c>
      <c r="H59">
        <v>0</v>
      </c>
      <c r="J59">
        <v>8.9675504714250565E-3</v>
      </c>
      <c r="K59">
        <v>1.551819313317537E-2</v>
      </c>
      <c r="L59">
        <v>0</v>
      </c>
      <c r="M59">
        <v>0</v>
      </c>
      <c r="U59">
        <v>5</v>
      </c>
      <c r="V59">
        <v>4</v>
      </c>
      <c r="W59" t="s">
        <v>500</v>
      </c>
      <c r="X59" t="s">
        <v>388</v>
      </c>
      <c r="AG59" t="s">
        <v>48</v>
      </c>
    </row>
    <row r="60" spans="1:33" x14ac:dyDescent="0.2">
      <c r="A60">
        <v>235</v>
      </c>
      <c r="B60" t="s">
        <v>524</v>
      </c>
      <c r="C60" t="s">
        <v>105</v>
      </c>
      <c r="D60" t="s">
        <v>736</v>
      </c>
      <c r="G60">
        <v>0</v>
      </c>
      <c r="H60">
        <v>0</v>
      </c>
      <c r="J60">
        <v>5.8825932443141937E-2</v>
      </c>
      <c r="K60">
        <v>9.0770618990063667E-3</v>
      </c>
      <c r="L60">
        <v>0</v>
      </c>
      <c r="M60">
        <v>0</v>
      </c>
      <c r="U60">
        <v>4</v>
      </c>
      <c r="V60">
        <v>4</v>
      </c>
      <c r="W60" t="s">
        <v>530</v>
      </c>
      <c r="X60" t="s">
        <v>107</v>
      </c>
      <c r="AG60" t="s">
        <v>48</v>
      </c>
    </row>
    <row r="61" spans="1:33" x14ac:dyDescent="0.2">
      <c r="A61">
        <v>237</v>
      </c>
      <c r="B61" t="s">
        <v>550</v>
      </c>
      <c r="C61" t="s">
        <v>91</v>
      </c>
      <c r="D61" t="s">
        <v>736</v>
      </c>
      <c r="G61">
        <v>0</v>
      </c>
      <c r="H61">
        <v>0</v>
      </c>
      <c r="J61">
        <v>3.2569464296102517E-2</v>
      </c>
      <c r="K61">
        <v>2.9203765094280239E-2</v>
      </c>
      <c r="L61">
        <v>0</v>
      </c>
      <c r="M61">
        <v>0</v>
      </c>
      <c r="U61">
        <v>5</v>
      </c>
      <c r="V61">
        <v>4</v>
      </c>
      <c r="W61" t="s">
        <v>552</v>
      </c>
      <c r="X61" t="s">
        <v>93</v>
      </c>
      <c r="AG61" t="s">
        <v>48</v>
      </c>
    </row>
    <row r="62" spans="1:33" x14ac:dyDescent="0.2">
      <c r="A62">
        <v>238</v>
      </c>
      <c r="B62" t="s">
        <v>560</v>
      </c>
      <c r="C62" t="s">
        <v>457</v>
      </c>
      <c r="D62" t="s">
        <v>736</v>
      </c>
      <c r="G62">
        <v>0</v>
      </c>
      <c r="H62">
        <v>0</v>
      </c>
      <c r="J62">
        <v>2.8120687231421471E-2</v>
      </c>
      <c r="K62">
        <v>1.087749004364014E-2</v>
      </c>
      <c r="L62">
        <v>0</v>
      </c>
      <c r="M62">
        <v>0</v>
      </c>
      <c r="U62">
        <v>6</v>
      </c>
      <c r="V62">
        <v>3</v>
      </c>
      <c r="W62" t="s">
        <v>562</v>
      </c>
      <c r="X62" t="s">
        <v>459</v>
      </c>
      <c r="AG62" t="s">
        <v>48</v>
      </c>
    </row>
    <row r="63" spans="1:33" x14ac:dyDescent="0.2">
      <c r="A63">
        <v>245</v>
      </c>
      <c r="B63" t="s">
        <v>634</v>
      </c>
      <c r="C63" t="s">
        <v>713</v>
      </c>
      <c r="D63" t="s">
        <v>736</v>
      </c>
      <c r="G63">
        <v>0</v>
      </c>
      <c r="H63">
        <v>0</v>
      </c>
      <c r="J63">
        <v>3.5022351890802383E-2</v>
      </c>
      <c r="K63">
        <v>2.3782571777701381E-2</v>
      </c>
      <c r="L63">
        <v>0</v>
      </c>
      <c r="M63">
        <v>0</v>
      </c>
      <c r="U63">
        <v>6</v>
      </c>
      <c r="V63">
        <v>7</v>
      </c>
      <c r="W63" t="s">
        <v>635</v>
      </c>
      <c r="X63" t="s">
        <v>717</v>
      </c>
      <c r="AG63" t="s">
        <v>48</v>
      </c>
    </row>
    <row r="64" spans="1:33" x14ac:dyDescent="0.2">
      <c r="A64">
        <v>247</v>
      </c>
      <c r="B64" t="s">
        <v>652</v>
      </c>
      <c r="C64" t="s">
        <v>443</v>
      </c>
      <c r="D64" t="s">
        <v>736</v>
      </c>
      <c r="G64">
        <v>0</v>
      </c>
      <c r="H64">
        <v>0</v>
      </c>
      <c r="J64">
        <v>1.128280907869339E-2</v>
      </c>
      <c r="K64">
        <v>1.834198459982872E-2</v>
      </c>
      <c r="L64">
        <v>0</v>
      </c>
      <c r="M64">
        <v>0</v>
      </c>
      <c r="U64">
        <v>5</v>
      </c>
      <c r="V64">
        <v>6</v>
      </c>
      <c r="W64" t="s">
        <v>654</v>
      </c>
      <c r="X64" t="s">
        <v>449</v>
      </c>
      <c r="AG64" t="s">
        <v>48</v>
      </c>
    </row>
    <row r="65" spans="1:33" x14ac:dyDescent="0.2">
      <c r="A65">
        <v>254</v>
      </c>
      <c r="B65" t="s">
        <v>720</v>
      </c>
      <c r="C65" t="s">
        <v>664</v>
      </c>
      <c r="D65" t="s">
        <v>736</v>
      </c>
      <c r="G65">
        <v>0</v>
      </c>
      <c r="H65">
        <v>0</v>
      </c>
      <c r="J65">
        <v>6.6315703094005585E-2</v>
      </c>
      <c r="K65">
        <v>6.4461971633136272E-3</v>
      </c>
      <c r="L65">
        <v>0</v>
      </c>
      <c r="M65">
        <v>0</v>
      </c>
      <c r="U65">
        <v>6</v>
      </c>
      <c r="V65">
        <v>5</v>
      </c>
      <c r="W65" t="s">
        <v>722</v>
      </c>
      <c r="X65" t="s">
        <v>738</v>
      </c>
      <c r="AG65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5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5</v>
      </c>
      <c r="B2" t="s">
        <v>49</v>
      </c>
      <c r="C2" t="s">
        <v>59</v>
      </c>
      <c r="D2" t="s">
        <v>46</v>
      </c>
      <c r="G2">
        <v>1.4084506779909099E-2</v>
      </c>
      <c r="H2">
        <v>0</v>
      </c>
      <c r="J2">
        <v>0.21540814638137801</v>
      </c>
      <c r="K2">
        <v>1.5354295261204199E-2</v>
      </c>
      <c r="L2">
        <v>3</v>
      </c>
      <c r="M2">
        <v>0</v>
      </c>
      <c r="T2">
        <v>0.99123861525317603</v>
      </c>
      <c r="U2">
        <v>5</v>
      </c>
      <c r="V2">
        <v>6</v>
      </c>
      <c r="W2" t="s">
        <v>54</v>
      </c>
      <c r="X2" t="s">
        <v>60</v>
      </c>
      <c r="Y2">
        <v>0.71909500000000004</v>
      </c>
      <c r="Z2">
        <v>0.75667969999999996</v>
      </c>
      <c r="AA2">
        <v>0.73788739999999997</v>
      </c>
      <c r="AB2">
        <v>0.53721940000000001</v>
      </c>
      <c r="AC2">
        <v>0.44548559999999998</v>
      </c>
      <c r="AD2">
        <v>0.49135250000000003</v>
      </c>
      <c r="AG2" t="s">
        <v>61</v>
      </c>
    </row>
    <row r="3" spans="1:33" x14ac:dyDescent="0.2">
      <c r="A3">
        <v>7</v>
      </c>
      <c r="B3" t="s">
        <v>62</v>
      </c>
      <c r="C3" t="s">
        <v>68</v>
      </c>
      <c r="D3" t="s">
        <v>42</v>
      </c>
      <c r="E3" t="s">
        <v>64</v>
      </c>
      <c r="F3" t="s">
        <v>69</v>
      </c>
      <c r="G3">
        <v>0</v>
      </c>
      <c r="H3">
        <v>1.5957446768879901E-2</v>
      </c>
      <c r="I3">
        <v>6.3829787075519603E-2</v>
      </c>
      <c r="J3">
        <v>6.19813427329063E-2</v>
      </c>
      <c r="K3">
        <v>6.8774998188018799E-2</v>
      </c>
      <c r="L3">
        <v>0</v>
      </c>
      <c r="M3">
        <v>1.5</v>
      </c>
      <c r="N3">
        <v>0.43943333625793501</v>
      </c>
      <c r="O3">
        <v>0.460202395915985</v>
      </c>
      <c r="P3">
        <v>1</v>
      </c>
      <c r="Q3">
        <v>0.25</v>
      </c>
      <c r="R3" t="s">
        <v>39</v>
      </c>
      <c r="S3" t="s">
        <v>70</v>
      </c>
      <c r="T3">
        <v>0.98858282189449398</v>
      </c>
      <c r="U3">
        <v>6</v>
      </c>
      <c r="V3">
        <v>4</v>
      </c>
      <c r="W3" t="s">
        <v>64</v>
      </c>
      <c r="X3" t="s">
        <v>71</v>
      </c>
      <c r="Y3">
        <v>0.72587246000000005</v>
      </c>
      <c r="Z3">
        <v>0.86023503999999995</v>
      </c>
      <c r="AA3">
        <v>0.79305375</v>
      </c>
      <c r="AB3">
        <v>0.19569644</v>
      </c>
      <c r="AC3">
        <v>0.17163134999999999</v>
      </c>
      <c r="AD3">
        <v>0.18366389999999999</v>
      </c>
      <c r="AE3" t="s">
        <v>72</v>
      </c>
      <c r="AF3" t="s">
        <v>73</v>
      </c>
      <c r="AG3" t="s">
        <v>61</v>
      </c>
    </row>
    <row r="4" spans="1:33" x14ac:dyDescent="0.2">
      <c r="A4">
        <v>9</v>
      </c>
      <c r="B4" t="s">
        <v>77</v>
      </c>
      <c r="C4" t="s">
        <v>78</v>
      </c>
      <c r="D4" t="s">
        <v>35</v>
      </c>
      <c r="E4" t="s">
        <v>79</v>
      </c>
      <c r="F4" t="s">
        <v>80</v>
      </c>
      <c r="G4">
        <v>0.108490563929081</v>
      </c>
      <c r="H4">
        <v>1.01643577218056E-2</v>
      </c>
      <c r="I4">
        <v>3.3333335071802098E-2</v>
      </c>
      <c r="J4">
        <v>0.27463361620902998</v>
      </c>
      <c r="K4">
        <v>0.123893350362778</v>
      </c>
      <c r="L4">
        <v>23</v>
      </c>
      <c r="M4">
        <v>0.91479218006134</v>
      </c>
      <c r="N4">
        <v>0.41635149717330899</v>
      </c>
      <c r="O4">
        <v>0.61703246831893899</v>
      </c>
      <c r="P4">
        <v>0.30493071675300598</v>
      </c>
      <c r="Q4">
        <v>1</v>
      </c>
      <c r="R4" t="s">
        <v>81</v>
      </c>
      <c r="S4" t="s">
        <v>39</v>
      </c>
      <c r="T4">
        <v>1.49117042728792</v>
      </c>
      <c r="U4">
        <v>4</v>
      </c>
      <c r="V4">
        <v>7</v>
      </c>
      <c r="W4" t="s">
        <v>82</v>
      </c>
      <c r="X4" t="s">
        <v>80</v>
      </c>
      <c r="Y4">
        <v>0.76060282999999995</v>
      </c>
      <c r="Z4">
        <v>0.78733520000000001</v>
      </c>
      <c r="AA4">
        <v>0.77396905000000005</v>
      </c>
      <c r="AB4">
        <v>0.30838486999999998</v>
      </c>
      <c r="AC4">
        <v>0.21277215999999999</v>
      </c>
      <c r="AD4">
        <v>0.26057849999999999</v>
      </c>
      <c r="AG4" t="s">
        <v>61</v>
      </c>
    </row>
    <row r="5" spans="1:33" x14ac:dyDescent="0.2">
      <c r="A5">
        <v>15</v>
      </c>
      <c r="B5" t="s">
        <v>104</v>
      </c>
      <c r="C5" t="s">
        <v>105</v>
      </c>
      <c r="D5" t="s">
        <v>35</v>
      </c>
      <c r="E5" t="s">
        <v>106</v>
      </c>
      <c r="F5" t="s">
        <v>107</v>
      </c>
      <c r="G5">
        <v>0.13385826349258401</v>
      </c>
      <c r="H5">
        <v>1.3891114853322501E-2</v>
      </c>
      <c r="I5">
        <v>5.4545454680919703E-2</v>
      </c>
      <c r="J5">
        <v>0.43504554033279402</v>
      </c>
      <c r="K5">
        <v>0.15305694937705999</v>
      </c>
      <c r="L5">
        <v>17</v>
      </c>
      <c r="M5">
        <v>1.5280226469039899</v>
      </c>
      <c r="N5">
        <v>0.43628281354904203</v>
      </c>
      <c r="O5">
        <v>0.46571725606918302</v>
      </c>
      <c r="P5">
        <v>0.76401132345199596</v>
      </c>
      <c r="Q5">
        <v>0.33333334326744102</v>
      </c>
      <c r="R5" t="s">
        <v>108</v>
      </c>
      <c r="S5" t="s">
        <v>109</v>
      </c>
      <c r="T5">
        <v>1.1955943660292501</v>
      </c>
      <c r="U5">
        <v>5</v>
      </c>
      <c r="V5">
        <v>4</v>
      </c>
      <c r="W5" t="s">
        <v>106</v>
      </c>
      <c r="X5" t="s">
        <v>110</v>
      </c>
      <c r="Y5">
        <v>0.78289162999999995</v>
      </c>
      <c r="Z5">
        <v>0.80756570000000005</v>
      </c>
      <c r="AA5">
        <v>0.79522866000000003</v>
      </c>
      <c r="AB5">
        <v>0.20434366000000001</v>
      </c>
      <c r="AC5">
        <v>0.33916659999999998</v>
      </c>
      <c r="AD5">
        <v>0.27175513000000001</v>
      </c>
      <c r="AG5" t="s">
        <v>61</v>
      </c>
    </row>
    <row r="6" spans="1:33" x14ac:dyDescent="0.2">
      <c r="A6">
        <v>20</v>
      </c>
      <c r="B6" t="s">
        <v>117</v>
      </c>
      <c r="C6" t="s">
        <v>129</v>
      </c>
      <c r="D6" t="s">
        <v>46</v>
      </c>
      <c r="G6">
        <v>2.4691358208656301E-2</v>
      </c>
      <c r="H6">
        <v>0</v>
      </c>
      <c r="J6">
        <v>0.18023288249969499</v>
      </c>
      <c r="K6">
        <v>1.5557796694338299E-2</v>
      </c>
      <c r="L6">
        <v>4</v>
      </c>
      <c r="M6">
        <v>0</v>
      </c>
      <c r="T6">
        <v>1.0066423638169699</v>
      </c>
      <c r="U6">
        <v>6</v>
      </c>
      <c r="V6">
        <v>7</v>
      </c>
      <c r="W6" t="s">
        <v>123</v>
      </c>
      <c r="X6" t="s">
        <v>130</v>
      </c>
      <c r="Y6">
        <v>0.6317142</v>
      </c>
      <c r="Z6">
        <v>0.68744859999999997</v>
      </c>
      <c r="AA6">
        <v>0.65958139999999998</v>
      </c>
      <c r="AB6">
        <v>0.21258223000000001</v>
      </c>
      <c r="AC6">
        <v>9.9708169999999999E-2</v>
      </c>
      <c r="AD6">
        <v>0.15614520000000001</v>
      </c>
      <c r="AG6" t="s">
        <v>61</v>
      </c>
    </row>
    <row r="7" spans="1:33" x14ac:dyDescent="0.2">
      <c r="A7">
        <v>21</v>
      </c>
      <c r="B7" t="s">
        <v>131</v>
      </c>
      <c r="C7" t="s">
        <v>132</v>
      </c>
      <c r="D7" t="s">
        <v>35</v>
      </c>
      <c r="E7" t="s">
        <v>133</v>
      </c>
      <c r="F7" t="s">
        <v>134</v>
      </c>
      <c r="G7">
        <v>2.1621622145175899E-2</v>
      </c>
      <c r="H7">
        <v>1.2578616850078101E-2</v>
      </c>
      <c r="I7">
        <v>3.7735849618911702E-2</v>
      </c>
      <c r="J7">
        <v>0.43747025728225702</v>
      </c>
      <c r="K7">
        <v>0.179766684770584</v>
      </c>
      <c r="L7">
        <v>4</v>
      </c>
      <c r="M7">
        <v>1.3333333730697601</v>
      </c>
      <c r="N7">
        <v>0.35228812694549599</v>
      </c>
      <c r="O7">
        <v>0.56264901161193903</v>
      </c>
      <c r="P7">
        <v>0.33333334326744102</v>
      </c>
      <c r="Q7">
        <v>1</v>
      </c>
      <c r="R7" t="s">
        <v>135</v>
      </c>
      <c r="S7" t="s">
        <v>39</v>
      </c>
      <c r="T7">
        <v>0.66114385915401197</v>
      </c>
      <c r="U7">
        <v>5</v>
      </c>
      <c r="V7">
        <v>6</v>
      </c>
      <c r="W7" t="s">
        <v>136</v>
      </c>
      <c r="X7" t="s">
        <v>134</v>
      </c>
      <c r="Y7">
        <v>0.741537</v>
      </c>
      <c r="Z7">
        <v>0.75599939999999999</v>
      </c>
      <c r="AA7">
        <v>0.74876819999999999</v>
      </c>
      <c r="AB7">
        <v>0.22103650999999999</v>
      </c>
      <c r="AC7">
        <v>0.28496801999999999</v>
      </c>
      <c r="AD7">
        <v>0.25300225999999998</v>
      </c>
      <c r="AG7" t="s">
        <v>61</v>
      </c>
    </row>
    <row r="8" spans="1:33" x14ac:dyDescent="0.2">
      <c r="A8">
        <v>25</v>
      </c>
      <c r="B8" t="s">
        <v>142</v>
      </c>
      <c r="C8" t="s">
        <v>150</v>
      </c>
      <c r="D8" t="s">
        <v>42</v>
      </c>
      <c r="E8" t="s">
        <v>148</v>
      </c>
      <c r="F8" t="s">
        <v>151</v>
      </c>
      <c r="G8">
        <v>0</v>
      </c>
      <c r="H8">
        <v>1.71205960214138E-2</v>
      </c>
      <c r="I8">
        <v>7.36842080950737E-2</v>
      </c>
      <c r="J8">
        <v>5.4044686257839203E-2</v>
      </c>
      <c r="K8">
        <v>7.2609677910804804E-2</v>
      </c>
      <c r="L8">
        <v>0</v>
      </c>
      <c r="M8">
        <v>1.6264567375183101</v>
      </c>
      <c r="N8">
        <v>0.318771332502365</v>
      </c>
      <c r="O8">
        <v>0.60429781675338801</v>
      </c>
      <c r="P8">
        <v>0.23235096037387801</v>
      </c>
      <c r="Q8">
        <v>1</v>
      </c>
      <c r="R8" t="s">
        <v>152</v>
      </c>
      <c r="S8" t="s">
        <v>39</v>
      </c>
      <c r="T8">
        <v>1.0010440553514099</v>
      </c>
      <c r="U8">
        <v>6</v>
      </c>
      <c r="V8">
        <v>5</v>
      </c>
      <c r="W8" t="s">
        <v>148</v>
      </c>
      <c r="X8" t="s">
        <v>151</v>
      </c>
      <c r="Y8">
        <v>0.7646963</v>
      </c>
      <c r="Z8">
        <v>0.83467250000000004</v>
      </c>
      <c r="AA8">
        <v>0.79968439999999996</v>
      </c>
      <c r="AB8">
        <v>0.17728187000000001</v>
      </c>
      <c r="AC8">
        <v>0.2812132</v>
      </c>
      <c r="AD8">
        <v>0.22924754</v>
      </c>
      <c r="AG8" t="s">
        <v>61</v>
      </c>
    </row>
    <row r="9" spans="1:33" x14ac:dyDescent="0.2">
      <c r="A9">
        <v>28</v>
      </c>
      <c r="B9" t="s">
        <v>155</v>
      </c>
      <c r="C9" t="s">
        <v>111</v>
      </c>
      <c r="D9" t="s">
        <v>42</v>
      </c>
      <c r="E9" t="s">
        <v>163</v>
      </c>
      <c r="F9" t="s">
        <v>113</v>
      </c>
      <c r="G9">
        <v>0</v>
      </c>
      <c r="H9">
        <v>9.9792545661329998E-3</v>
      </c>
      <c r="I9">
        <v>4.34782616794109E-2</v>
      </c>
      <c r="J9">
        <v>1.45280780270696E-2</v>
      </c>
      <c r="K9">
        <v>2.57754176855087E-2</v>
      </c>
      <c r="L9">
        <v>0</v>
      </c>
      <c r="M9">
        <v>0.91809141635894798</v>
      </c>
      <c r="N9">
        <v>0.45088654756545998</v>
      </c>
      <c r="O9">
        <v>0.43469262123107899</v>
      </c>
      <c r="P9">
        <v>0.22952285408973699</v>
      </c>
      <c r="Q9">
        <v>1</v>
      </c>
      <c r="R9" t="s">
        <v>164</v>
      </c>
      <c r="S9" t="s">
        <v>39</v>
      </c>
      <c r="T9">
        <v>1.0964998435751401</v>
      </c>
      <c r="U9">
        <v>6</v>
      </c>
      <c r="V9">
        <v>5</v>
      </c>
      <c r="W9" t="s">
        <v>161</v>
      </c>
      <c r="X9" t="s">
        <v>113</v>
      </c>
      <c r="Y9">
        <v>0.78395115999999998</v>
      </c>
      <c r="Z9">
        <v>0.72355389999999997</v>
      </c>
      <c r="AA9">
        <v>0.75375250000000005</v>
      </c>
      <c r="AB9">
        <v>0.14869537999999999</v>
      </c>
      <c r="AC9">
        <v>0.20194403999999999</v>
      </c>
      <c r="AD9">
        <v>0.17531969999999999</v>
      </c>
      <c r="AE9" t="s">
        <v>102</v>
      </c>
      <c r="AF9" t="s">
        <v>165</v>
      </c>
      <c r="AG9" t="s">
        <v>61</v>
      </c>
    </row>
    <row r="10" spans="1:33" x14ac:dyDescent="0.2">
      <c r="A10">
        <v>32</v>
      </c>
      <c r="B10" t="s">
        <v>168</v>
      </c>
      <c r="C10" t="s">
        <v>180</v>
      </c>
      <c r="D10" t="s">
        <v>46</v>
      </c>
      <c r="G10">
        <v>3.05343512445688E-2</v>
      </c>
      <c r="H10">
        <v>0</v>
      </c>
      <c r="J10">
        <v>6.3394062221050304E-2</v>
      </c>
      <c r="K10">
        <v>8.5873976349830003E-3</v>
      </c>
      <c r="L10">
        <v>4</v>
      </c>
      <c r="M10">
        <v>0</v>
      </c>
      <c r="T10">
        <v>1.26111351509717</v>
      </c>
      <c r="U10">
        <v>6</v>
      </c>
      <c r="V10">
        <v>8</v>
      </c>
      <c r="W10" t="s">
        <v>174</v>
      </c>
      <c r="X10" t="s">
        <v>181</v>
      </c>
      <c r="Y10">
        <v>0.79228889999999996</v>
      </c>
      <c r="Z10">
        <v>0.61324880000000004</v>
      </c>
      <c r="AA10">
        <v>0.70276886000000005</v>
      </c>
      <c r="AB10">
        <v>9.7811274000000004E-2</v>
      </c>
      <c r="AC10">
        <v>6.620239E-2</v>
      </c>
      <c r="AD10">
        <v>8.2006830000000003E-2</v>
      </c>
      <c r="AG10" t="s">
        <v>61</v>
      </c>
    </row>
    <row r="11" spans="1:33" x14ac:dyDescent="0.2">
      <c r="A11">
        <v>35</v>
      </c>
      <c r="B11" t="s">
        <v>182</v>
      </c>
      <c r="C11" t="s">
        <v>190</v>
      </c>
      <c r="D11" t="s">
        <v>46</v>
      </c>
      <c r="G11">
        <v>4.0201004594564403E-2</v>
      </c>
      <c r="H11">
        <v>0</v>
      </c>
      <c r="J11">
        <v>8.8713936507701902E-2</v>
      </c>
      <c r="K11">
        <v>1.42333339899778E-2</v>
      </c>
      <c r="L11">
        <v>8</v>
      </c>
      <c r="M11">
        <v>0</v>
      </c>
      <c r="T11">
        <v>1.0341331367861899</v>
      </c>
      <c r="U11">
        <v>6</v>
      </c>
      <c r="V11">
        <v>6</v>
      </c>
      <c r="W11" t="s">
        <v>184</v>
      </c>
      <c r="X11" t="s">
        <v>191</v>
      </c>
      <c r="Y11">
        <v>0.7808657</v>
      </c>
      <c r="Z11">
        <v>0.75889609999999996</v>
      </c>
      <c r="AA11">
        <v>0.76988089999999998</v>
      </c>
      <c r="AB11">
        <v>0.24590074000000001</v>
      </c>
      <c r="AC11">
        <v>0.55002903999999997</v>
      </c>
      <c r="AD11">
        <v>0.39796490000000001</v>
      </c>
      <c r="AG11" t="s">
        <v>61</v>
      </c>
    </row>
    <row r="12" spans="1:33" x14ac:dyDescent="0.2">
      <c r="A12">
        <v>39</v>
      </c>
      <c r="B12" t="s">
        <v>206</v>
      </c>
      <c r="C12" t="s">
        <v>207</v>
      </c>
      <c r="D12" t="s">
        <v>35</v>
      </c>
      <c r="E12" t="s">
        <v>208</v>
      </c>
      <c r="F12" t="s">
        <v>209</v>
      </c>
      <c r="G12">
        <v>0.110526315867901</v>
      </c>
      <c r="H12">
        <v>2.5491395965218499E-2</v>
      </c>
      <c r="I12">
        <v>0.16037735342979401</v>
      </c>
      <c r="J12">
        <v>0.31608670949935902</v>
      </c>
      <c r="K12">
        <v>0.16825403273105599</v>
      </c>
      <c r="L12">
        <v>21</v>
      </c>
      <c r="M12">
        <v>2.70208787918091</v>
      </c>
      <c r="N12">
        <v>0.28596687316894498</v>
      </c>
      <c r="O12">
        <v>0.45174866914749101</v>
      </c>
      <c r="P12">
        <v>0.49728140234947199</v>
      </c>
      <c r="Q12">
        <v>0.31963059306144698</v>
      </c>
      <c r="R12" t="s">
        <v>210</v>
      </c>
      <c r="S12" t="s">
        <v>211</v>
      </c>
      <c r="T12">
        <v>0.91412849207788005</v>
      </c>
      <c r="U12">
        <v>4</v>
      </c>
      <c r="V12">
        <v>5</v>
      </c>
      <c r="W12" t="s">
        <v>212</v>
      </c>
      <c r="X12" t="s">
        <v>213</v>
      </c>
      <c r="Y12">
        <v>0.64058990000000005</v>
      </c>
      <c r="Z12">
        <v>0.80757659999999998</v>
      </c>
      <c r="AA12">
        <v>0.72408324000000002</v>
      </c>
      <c r="AB12">
        <v>0.25464034000000002</v>
      </c>
      <c r="AC12">
        <v>0.68876769999999998</v>
      </c>
      <c r="AD12">
        <v>0.47170400000000001</v>
      </c>
      <c r="AG12" t="s">
        <v>61</v>
      </c>
    </row>
    <row r="13" spans="1:33" x14ac:dyDescent="0.2">
      <c r="A13">
        <v>42</v>
      </c>
      <c r="B13" t="s">
        <v>219</v>
      </c>
      <c r="C13" t="s">
        <v>220</v>
      </c>
      <c r="D13" t="s">
        <v>35</v>
      </c>
      <c r="E13" t="s">
        <v>221</v>
      </c>
      <c r="F13" t="s">
        <v>222</v>
      </c>
      <c r="G13">
        <v>6.5989844501018496E-2</v>
      </c>
      <c r="H13">
        <v>0.148936167359352</v>
      </c>
      <c r="I13">
        <v>0.148936167359352</v>
      </c>
      <c r="J13">
        <v>0.195701479911804</v>
      </c>
      <c r="K13">
        <v>0.270099997520447</v>
      </c>
      <c r="L13">
        <v>13</v>
      </c>
      <c r="M13">
        <v>14</v>
      </c>
      <c r="N13">
        <v>0.57249653339385997</v>
      </c>
      <c r="O13">
        <v>0.55068194866180398</v>
      </c>
      <c r="P13">
        <v>1</v>
      </c>
      <c r="Q13">
        <v>1</v>
      </c>
      <c r="R13" t="s">
        <v>39</v>
      </c>
      <c r="S13" t="s">
        <v>39</v>
      </c>
      <c r="T13">
        <v>1.2193128643504501</v>
      </c>
      <c r="U13">
        <v>5</v>
      </c>
      <c r="V13">
        <v>7</v>
      </c>
      <c r="W13" t="s">
        <v>221</v>
      </c>
      <c r="X13" t="s">
        <v>222</v>
      </c>
      <c r="Y13">
        <v>0.76855430000000002</v>
      </c>
      <c r="Z13">
        <v>0.78706600000000004</v>
      </c>
      <c r="AA13">
        <v>0.77781009999999995</v>
      </c>
      <c r="AB13">
        <v>0.2512124</v>
      </c>
      <c r="AC13">
        <v>0.16315109</v>
      </c>
      <c r="AD13">
        <v>0.20718174</v>
      </c>
      <c r="AG13" t="s">
        <v>61</v>
      </c>
    </row>
    <row r="14" spans="1:33" x14ac:dyDescent="0.2">
      <c r="A14">
        <v>47</v>
      </c>
      <c r="B14" t="s">
        <v>227</v>
      </c>
      <c r="C14" t="s">
        <v>236</v>
      </c>
      <c r="D14" t="s">
        <v>46</v>
      </c>
      <c r="G14">
        <v>2.5862069800496101E-2</v>
      </c>
      <c r="H14">
        <v>0</v>
      </c>
      <c r="J14">
        <v>0.128469929099083</v>
      </c>
      <c r="K14">
        <v>1.9065810367464998E-2</v>
      </c>
      <c r="L14">
        <v>3</v>
      </c>
      <c r="M14">
        <v>0</v>
      </c>
      <c r="T14">
        <v>0.93491512103730201</v>
      </c>
      <c r="U14">
        <v>5</v>
      </c>
      <c r="V14">
        <v>5</v>
      </c>
      <c r="W14" t="s">
        <v>229</v>
      </c>
      <c r="X14" t="s">
        <v>237</v>
      </c>
      <c r="Y14">
        <v>0.75537825000000003</v>
      </c>
      <c r="Z14">
        <v>0.77723969999999998</v>
      </c>
      <c r="AA14">
        <v>0.76630896000000004</v>
      </c>
      <c r="AB14">
        <v>0.26593341999999998</v>
      </c>
      <c r="AC14">
        <v>0.24125733999999999</v>
      </c>
      <c r="AD14">
        <v>0.25359537999999998</v>
      </c>
      <c r="AG14" t="s">
        <v>61</v>
      </c>
    </row>
    <row r="15" spans="1:33" x14ac:dyDescent="0.2">
      <c r="A15">
        <v>53</v>
      </c>
      <c r="B15" t="s">
        <v>252</v>
      </c>
      <c r="C15" t="s">
        <v>262</v>
      </c>
      <c r="D15" t="s">
        <v>46</v>
      </c>
      <c r="G15">
        <v>2.5477707386016801E-2</v>
      </c>
      <c r="H15">
        <v>0</v>
      </c>
      <c r="J15">
        <v>6.7497715353965801E-2</v>
      </c>
      <c r="K15">
        <v>2.39605698734522E-2</v>
      </c>
      <c r="L15">
        <v>4</v>
      </c>
      <c r="M15">
        <v>0</v>
      </c>
      <c r="T15">
        <v>1.3448124344494301</v>
      </c>
      <c r="U15">
        <v>4</v>
      </c>
      <c r="V15">
        <v>4</v>
      </c>
      <c r="W15" t="s">
        <v>254</v>
      </c>
      <c r="X15" t="s">
        <v>263</v>
      </c>
      <c r="Y15">
        <v>0.84434620000000005</v>
      </c>
      <c r="Z15">
        <v>0.73960554999999994</v>
      </c>
      <c r="AA15">
        <v>0.79197585999999998</v>
      </c>
      <c r="AB15">
        <v>0.17669687000000001</v>
      </c>
      <c r="AC15">
        <v>0.19951873000000001</v>
      </c>
      <c r="AD15">
        <v>0.18810779</v>
      </c>
      <c r="AG15" t="s">
        <v>61</v>
      </c>
    </row>
    <row r="16" spans="1:33" x14ac:dyDescent="0.2">
      <c r="A16">
        <v>54</v>
      </c>
      <c r="B16" t="s">
        <v>264</v>
      </c>
      <c r="C16" t="s">
        <v>265</v>
      </c>
      <c r="D16" t="s">
        <v>35</v>
      </c>
      <c r="E16" t="s">
        <v>266</v>
      </c>
      <c r="F16" t="s">
        <v>267</v>
      </c>
      <c r="G16">
        <v>0.107623316347599</v>
      </c>
      <c r="H16">
        <v>3.2479081302881199E-2</v>
      </c>
      <c r="I16">
        <v>8.2352943718433394E-2</v>
      </c>
      <c r="J16">
        <v>0.17200368642807001</v>
      </c>
      <c r="K16">
        <v>0.136103570461273</v>
      </c>
      <c r="L16">
        <v>24</v>
      </c>
      <c r="M16">
        <v>2.7607216835021999</v>
      </c>
      <c r="N16">
        <v>0.49936079978942899</v>
      </c>
      <c r="O16">
        <v>0.55774462223053001</v>
      </c>
      <c r="P16">
        <v>0.39438882470130898</v>
      </c>
      <c r="Q16">
        <v>1</v>
      </c>
      <c r="R16" t="s">
        <v>268</v>
      </c>
      <c r="S16" t="s">
        <v>39</v>
      </c>
      <c r="T16">
        <v>0.62256485706100195</v>
      </c>
      <c r="U16">
        <v>6</v>
      </c>
      <c r="V16">
        <v>6</v>
      </c>
      <c r="W16" t="s">
        <v>266</v>
      </c>
      <c r="X16" t="s">
        <v>267</v>
      </c>
      <c r="Y16">
        <v>0.80333600000000005</v>
      </c>
      <c r="Z16">
        <v>0.84447190000000005</v>
      </c>
      <c r="AA16">
        <v>0.82390390000000002</v>
      </c>
      <c r="AB16">
        <v>0.56588229999999995</v>
      </c>
      <c r="AC16">
        <v>0.88985250000000005</v>
      </c>
      <c r="AD16">
        <v>0.72786740000000005</v>
      </c>
      <c r="AG16" t="s">
        <v>61</v>
      </c>
    </row>
    <row r="17" spans="1:33" x14ac:dyDescent="0.2">
      <c r="A17">
        <v>57</v>
      </c>
      <c r="B17" t="s">
        <v>273</v>
      </c>
      <c r="C17" t="s">
        <v>274</v>
      </c>
      <c r="D17" t="s">
        <v>35</v>
      </c>
      <c r="E17" t="s">
        <v>275</v>
      </c>
      <c r="F17" t="s">
        <v>276</v>
      </c>
      <c r="G17">
        <v>0.15048544108867601</v>
      </c>
      <c r="H17">
        <v>1.1093296110630001E-2</v>
      </c>
      <c r="I17">
        <v>6.6666670143604306E-2</v>
      </c>
      <c r="J17">
        <v>0.375757455825806</v>
      </c>
      <c r="K17">
        <v>3.8671229034662302E-2</v>
      </c>
      <c r="L17">
        <v>31</v>
      </c>
      <c r="M17">
        <v>1.3311954736709599</v>
      </c>
      <c r="N17">
        <v>0.203738108277321</v>
      </c>
      <c r="O17">
        <v>0.34589976072311401</v>
      </c>
      <c r="P17">
        <v>0.41103914380073597</v>
      </c>
      <c r="Q17">
        <v>0.40482625365257302</v>
      </c>
      <c r="R17" t="s">
        <v>277</v>
      </c>
      <c r="S17" t="s">
        <v>278</v>
      </c>
      <c r="T17">
        <v>0.99218128912933201</v>
      </c>
      <c r="U17">
        <v>6</v>
      </c>
      <c r="V17">
        <v>8</v>
      </c>
      <c r="W17" t="s">
        <v>279</v>
      </c>
      <c r="X17" t="s">
        <v>280</v>
      </c>
      <c r="Y17">
        <v>0.70937240000000001</v>
      </c>
      <c r="Z17">
        <v>0.62111985999999997</v>
      </c>
      <c r="AA17">
        <v>0.66524609999999995</v>
      </c>
      <c r="AB17">
        <v>0.14263940999999999</v>
      </c>
      <c r="AC17">
        <v>0.13152725000000001</v>
      </c>
      <c r="AD17">
        <v>0.13708332000000001</v>
      </c>
      <c r="AG17" t="s">
        <v>61</v>
      </c>
    </row>
    <row r="18" spans="1:33" x14ac:dyDescent="0.2">
      <c r="A18">
        <v>65</v>
      </c>
      <c r="B18" t="s">
        <v>298</v>
      </c>
      <c r="C18" t="s">
        <v>307</v>
      </c>
      <c r="D18" t="s">
        <v>46</v>
      </c>
      <c r="G18">
        <v>2.0325202494859699E-2</v>
      </c>
      <c r="H18">
        <v>0</v>
      </c>
      <c r="J18">
        <v>8.2429111003875705E-2</v>
      </c>
      <c r="K18">
        <v>5.3666671738027997E-3</v>
      </c>
      <c r="L18">
        <v>5</v>
      </c>
      <c r="M18">
        <v>0</v>
      </c>
      <c r="T18">
        <v>1.23016622208895</v>
      </c>
      <c r="U18">
        <v>4</v>
      </c>
      <c r="V18">
        <v>4</v>
      </c>
      <c r="W18" t="s">
        <v>300</v>
      </c>
      <c r="X18" t="s">
        <v>308</v>
      </c>
      <c r="Y18">
        <v>0.82606906000000002</v>
      </c>
      <c r="Z18">
        <v>0.8341423</v>
      </c>
      <c r="AA18">
        <v>0.83010565999999997</v>
      </c>
      <c r="AB18">
        <v>0.42394557999999999</v>
      </c>
      <c r="AC18">
        <v>0.22804466000000001</v>
      </c>
      <c r="AD18">
        <v>0.32599512000000003</v>
      </c>
      <c r="AG18" t="s">
        <v>61</v>
      </c>
    </row>
    <row r="19" spans="1:33" x14ac:dyDescent="0.2">
      <c r="A19">
        <v>71</v>
      </c>
      <c r="B19" t="s">
        <v>320</v>
      </c>
      <c r="C19" t="s">
        <v>63</v>
      </c>
      <c r="D19" t="s">
        <v>46</v>
      </c>
      <c r="G19">
        <v>2.18579228967428E-2</v>
      </c>
      <c r="H19">
        <v>0</v>
      </c>
      <c r="J19">
        <v>0.109379626810551</v>
      </c>
      <c r="K19">
        <v>1.7930250614881502E-2</v>
      </c>
      <c r="L19">
        <v>4</v>
      </c>
      <c r="M19">
        <v>0</v>
      </c>
      <c r="T19">
        <v>0.79463952218701694</v>
      </c>
      <c r="U19">
        <v>4</v>
      </c>
      <c r="V19">
        <v>4</v>
      </c>
      <c r="W19" t="s">
        <v>322</v>
      </c>
      <c r="X19" t="s">
        <v>67</v>
      </c>
      <c r="Y19">
        <v>0.79896330000000004</v>
      </c>
      <c r="Z19">
        <v>0.72057724000000001</v>
      </c>
      <c r="AA19">
        <v>0.75977030000000001</v>
      </c>
      <c r="AB19">
        <v>0.23891924</v>
      </c>
      <c r="AC19">
        <v>0.37188696999999998</v>
      </c>
      <c r="AD19">
        <v>0.30540309999999998</v>
      </c>
      <c r="AG19" t="s">
        <v>61</v>
      </c>
    </row>
    <row r="20" spans="1:33" x14ac:dyDescent="0.2">
      <c r="A20">
        <v>72</v>
      </c>
      <c r="B20" t="s">
        <v>329</v>
      </c>
      <c r="C20" t="s">
        <v>330</v>
      </c>
      <c r="D20" t="s">
        <v>35</v>
      </c>
      <c r="E20" t="s">
        <v>331</v>
      </c>
      <c r="F20" t="s">
        <v>332</v>
      </c>
      <c r="G20">
        <v>3.5211268812417998E-2</v>
      </c>
      <c r="H20">
        <v>9.4669386744498998E-3</v>
      </c>
      <c r="I20">
        <v>0.10833333432674409</v>
      </c>
      <c r="J20">
        <v>0.40203133225441001</v>
      </c>
      <c r="K20">
        <v>5.6565690785646397E-2</v>
      </c>
      <c r="L20">
        <v>5</v>
      </c>
      <c r="M20">
        <v>1.1360327005386399</v>
      </c>
      <c r="N20">
        <v>0.33426991105079701</v>
      </c>
      <c r="O20">
        <v>0.43284502625465399</v>
      </c>
      <c r="P20">
        <v>0.200926378369331</v>
      </c>
      <c r="Q20">
        <v>0.434921145439148</v>
      </c>
      <c r="R20" t="s">
        <v>333</v>
      </c>
      <c r="S20" t="s">
        <v>334</v>
      </c>
      <c r="T20">
        <v>0.85209533192407405</v>
      </c>
      <c r="U20">
        <v>5</v>
      </c>
      <c r="V20">
        <v>4</v>
      </c>
      <c r="W20" t="s">
        <v>335</v>
      </c>
      <c r="X20" t="s">
        <v>336</v>
      </c>
      <c r="Y20">
        <v>0.57454590000000005</v>
      </c>
      <c r="Z20">
        <v>0.81559324</v>
      </c>
      <c r="AA20">
        <v>0.69506955000000004</v>
      </c>
      <c r="AB20">
        <v>9.7756410000000002E-2</v>
      </c>
      <c r="AC20">
        <v>0.15176313999999999</v>
      </c>
      <c r="AD20">
        <v>0.12475978</v>
      </c>
      <c r="AE20" t="s">
        <v>72</v>
      </c>
      <c r="AF20" t="s">
        <v>76</v>
      </c>
      <c r="AG20" t="s">
        <v>61</v>
      </c>
    </row>
    <row r="21" spans="1:33" x14ac:dyDescent="0.2">
      <c r="A21">
        <v>76</v>
      </c>
      <c r="B21" t="s">
        <v>341</v>
      </c>
      <c r="C21" t="s">
        <v>347</v>
      </c>
      <c r="D21" t="s">
        <v>42</v>
      </c>
      <c r="E21" t="s">
        <v>343</v>
      </c>
      <c r="F21" t="s">
        <v>348</v>
      </c>
      <c r="G21">
        <v>0</v>
      </c>
      <c r="H21">
        <v>0.126315787434578</v>
      </c>
      <c r="I21">
        <v>0.126315787434578</v>
      </c>
      <c r="J21">
        <v>4.1015267372131403E-2</v>
      </c>
      <c r="K21">
        <v>0.15099999308586101</v>
      </c>
      <c r="L21">
        <v>0</v>
      </c>
      <c r="M21">
        <v>12</v>
      </c>
      <c r="N21">
        <v>0.20574228465557101</v>
      </c>
      <c r="O21">
        <v>0.352245062589645</v>
      </c>
      <c r="P21">
        <v>1</v>
      </c>
      <c r="Q21">
        <v>1</v>
      </c>
      <c r="R21" t="s">
        <v>39</v>
      </c>
      <c r="S21" t="s">
        <v>39</v>
      </c>
      <c r="T21">
        <v>1.06003665729132</v>
      </c>
      <c r="U21">
        <v>4</v>
      </c>
      <c r="V21">
        <v>4</v>
      </c>
      <c r="W21" t="s">
        <v>343</v>
      </c>
      <c r="X21" t="s">
        <v>348</v>
      </c>
      <c r="Y21">
        <v>0.66934320000000003</v>
      </c>
      <c r="Z21">
        <v>0.76293929999999999</v>
      </c>
      <c r="AA21">
        <v>0.71614120000000003</v>
      </c>
      <c r="AB21">
        <v>5.5568571999999997E-2</v>
      </c>
      <c r="AC21">
        <v>0.34552815999999997</v>
      </c>
      <c r="AD21">
        <v>0.20054837</v>
      </c>
      <c r="AG21" t="s">
        <v>61</v>
      </c>
    </row>
    <row r="22" spans="1:33" x14ac:dyDescent="0.2">
      <c r="A22">
        <v>79</v>
      </c>
      <c r="B22" t="s">
        <v>351</v>
      </c>
      <c r="C22" t="s">
        <v>357</v>
      </c>
      <c r="D22" t="s">
        <v>42</v>
      </c>
      <c r="E22" t="s">
        <v>353</v>
      </c>
      <c r="F22" t="s">
        <v>358</v>
      </c>
      <c r="G22">
        <v>0</v>
      </c>
      <c r="H22">
        <v>9.6955625340342001E-3</v>
      </c>
      <c r="I22">
        <v>2.8846153989434201E-2</v>
      </c>
      <c r="J22">
        <v>5.5356096476316501E-2</v>
      </c>
      <c r="K22">
        <v>6.04667067527771E-2</v>
      </c>
      <c r="L22">
        <v>0</v>
      </c>
      <c r="M22">
        <v>1.00833857059479</v>
      </c>
      <c r="N22">
        <v>0.38950902223586997</v>
      </c>
      <c r="O22">
        <v>0.56460452079773005</v>
      </c>
      <c r="P22">
        <v>0.70180487632751498</v>
      </c>
      <c r="Q22">
        <v>0.47892636060714699</v>
      </c>
      <c r="R22" t="s">
        <v>355</v>
      </c>
      <c r="S22" t="s">
        <v>359</v>
      </c>
      <c r="T22">
        <v>1.1366150171465199</v>
      </c>
      <c r="U22">
        <v>5</v>
      </c>
      <c r="V22">
        <v>4</v>
      </c>
      <c r="W22" t="s">
        <v>353</v>
      </c>
      <c r="X22" t="s">
        <v>358</v>
      </c>
      <c r="Y22">
        <v>0.69349769999999999</v>
      </c>
      <c r="Z22">
        <v>0.79579840000000002</v>
      </c>
      <c r="AA22">
        <v>0.74464810000000003</v>
      </c>
      <c r="AB22">
        <v>0.31497199999999997</v>
      </c>
      <c r="AC22">
        <v>0.27219588</v>
      </c>
      <c r="AD22">
        <v>0.29358392999999999</v>
      </c>
      <c r="AG22" t="s">
        <v>61</v>
      </c>
    </row>
    <row r="23" spans="1:33" x14ac:dyDescent="0.2">
      <c r="A23">
        <v>82</v>
      </c>
      <c r="B23" t="s">
        <v>362</v>
      </c>
      <c r="C23" t="s">
        <v>118</v>
      </c>
      <c r="D23" t="s">
        <v>42</v>
      </c>
      <c r="E23" t="s">
        <v>364</v>
      </c>
      <c r="F23" t="s">
        <v>120</v>
      </c>
      <c r="G23">
        <v>0</v>
      </c>
      <c r="H23">
        <v>1.64083689451218E-2</v>
      </c>
      <c r="I23">
        <v>7.5000002980232197E-2</v>
      </c>
      <c r="J23">
        <v>4.5940864831209197E-2</v>
      </c>
      <c r="K23">
        <v>4.4127572327852298E-2</v>
      </c>
      <c r="L23">
        <v>0</v>
      </c>
      <c r="M23">
        <v>1.96900427341461</v>
      </c>
      <c r="N23">
        <v>0.47508612275123602</v>
      </c>
      <c r="O23">
        <v>0.29363948106765703</v>
      </c>
      <c r="P23">
        <v>0.29801914095878601</v>
      </c>
      <c r="Q23">
        <v>0.73410803079605103</v>
      </c>
      <c r="R23" t="s">
        <v>366</v>
      </c>
      <c r="S23" t="s">
        <v>122</v>
      </c>
      <c r="T23">
        <v>1.0951893977832301</v>
      </c>
      <c r="U23">
        <v>6</v>
      </c>
      <c r="V23">
        <v>5</v>
      </c>
      <c r="W23" t="s">
        <v>368</v>
      </c>
      <c r="X23" t="s">
        <v>120</v>
      </c>
      <c r="Y23">
        <v>0.78467120000000001</v>
      </c>
      <c r="Z23">
        <v>0.70150889999999999</v>
      </c>
      <c r="AA23">
        <v>0.74309002999999996</v>
      </c>
      <c r="AB23">
        <v>0.70466112999999997</v>
      </c>
      <c r="AC23">
        <v>0.25638013999999998</v>
      </c>
      <c r="AD23">
        <v>0.48052064</v>
      </c>
      <c r="AG23" t="s">
        <v>61</v>
      </c>
    </row>
    <row r="24" spans="1:33" x14ac:dyDescent="0.2">
      <c r="A24">
        <v>88</v>
      </c>
      <c r="B24" t="s">
        <v>377</v>
      </c>
      <c r="C24" t="s">
        <v>381</v>
      </c>
      <c r="D24" t="s">
        <v>42</v>
      </c>
      <c r="E24" t="s">
        <v>379</v>
      </c>
      <c r="F24" t="s">
        <v>382</v>
      </c>
      <c r="G24">
        <v>0</v>
      </c>
      <c r="H24">
        <v>3.7037037312984501E-2</v>
      </c>
      <c r="I24">
        <v>3.7037037312984501E-2</v>
      </c>
      <c r="J24">
        <v>5.2098926156759297E-2</v>
      </c>
      <c r="K24">
        <v>0.118299998342991</v>
      </c>
      <c r="L24">
        <v>0</v>
      </c>
      <c r="M24">
        <v>3</v>
      </c>
      <c r="N24">
        <v>0.34499228000640902</v>
      </c>
      <c r="O24">
        <v>0.25685280561447099</v>
      </c>
      <c r="P24">
        <v>1</v>
      </c>
      <c r="Q24">
        <v>1</v>
      </c>
      <c r="R24" t="s">
        <v>39</v>
      </c>
      <c r="S24" t="s">
        <v>39</v>
      </c>
      <c r="T24">
        <v>1.4287530675133999</v>
      </c>
      <c r="U24">
        <v>6</v>
      </c>
      <c r="V24">
        <v>5</v>
      </c>
      <c r="W24" t="s">
        <v>379</v>
      </c>
      <c r="X24" t="s">
        <v>382</v>
      </c>
      <c r="Y24">
        <v>0.66683820000000005</v>
      </c>
      <c r="Z24">
        <v>0.75243079999999996</v>
      </c>
      <c r="AA24">
        <v>0.70963454000000004</v>
      </c>
      <c r="AB24">
        <v>0.23870078</v>
      </c>
      <c r="AC24">
        <v>0.47288587999999998</v>
      </c>
      <c r="AD24">
        <v>0.35579333000000002</v>
      </c>
      <c r="AG24" t="s">
        <v>61</v>
      </c>
    </row>
    <row r="25" spans="1:33" x14ac:dyDescent="0.2">
      <c r="A25">
        <v>92</v>
      </c>
      <c r="B25" t="s">
        <v>385</v>
      </c>
      <c r="C25" t="s">
        <v>392</v>
      </c>
      <c r="D25" t="s">
        <v>46</v>
      </c>
      <c r="G25">
        <v>7.7319584786891896E-2</v>
      </c>
      <c r="H25">
        <v>0</v>
      </c>
      <c r="J25">
        <v>0.15737743675708801</v>
      </c>
      <c r="K25">
        <v>1.6337117180228199E-2</v>
      </c>
      <c r="L25">
        <v>15</v>
      </c>
      <c r="M25">
        <v>0</v>
      </c>
      <c r="T25">
        <v>0.95614506273417699</v>
      </c>
      <c r="U25">
        <v>4</v>
      </c>
      <c r="V25">
        <v>5</v>
      </c>
      <c r="W25" t="s">
        <v>387</v>
      </c>
      <c r="X25" t="s">
        <v>393</v>
      </c>
      <c r="Y25">
        <v>0.65922373999999995</v>
      </c>
      <c r="Z25">
        <v>0.84963319999999998</v>
      </c>
      <c r="AA25">
        <v>0.75442849999999995</v>
      </c>
      <c r="AB25">
        <v>0.22844301</v>
      </c>
      <c r="AC25">
        <v>0.34169060000000001</v>
      </c>
      <c r="AD25">
        <v>0.28506680000000001</v>
      </c>
      <c r="AG25" t="s">
        <v>61</v>
      </c>
    </row>
    <row r="26" spans="1:33" x14ac:dyDescent="0.2">
      <c r="A26">
        <v>94</v>
      </c>
      <c r="B26" t="s">
        <v>394</v>
      </c>
      <c r="C26" t="s">
        <v>400</v>
      </c>
      <c r="D26" t="s">
        <v>42</v>
      </c>
      <c r="E26" t="s">
        <v>401</v>
      </c>
      <c r="F26" t="s">
        <v>402</v>
      </c>
      <c r="G26">
        <v>0</v>
      </c>
      <c r="H26">
        <v>3.4458193928003297E-2</v>
      </c>
      <c r="I26">
        <v>0.19834710657596599</v>
      </c>
      <c r="J26">
        <v>2.7040671557187999E-2</v>
      </c>
      <c r="K26">
        <v>8.9121818542480497E-2</v>
      </c>
      <c r="L26">
        <v>0</v>
      </c>
      <c r="M26">
        <v>4.1694416999816886</v>
      </c>
      <c r="N26">
        <v>0.22461074590683</v>
      </c>
      <c r="O26">
        <v>0.29991933703422502</v>
      </c>
      <c r="P26">
        <v>0.34745347499847401</v>
      </c>
      <c r="Q26">
        <v>0.5</v>
      </c>
      <c r="R26" t="s">
        <v>403</v>
      </c>
      <c r="S26" t="s">
        <v>404</v>
      </c>
      <c r="T26">
        <v>0.588714216803083</v>
      </c>
      <c r="U26">
        <v>5</v>
      </c>
      <c r="V26">
        <v>4</v>
      </c>
      <c r="W26" t="s">
        <v>396</v>
      </c>
      <c r="X26" t="s">
        <v>405</v>
      </c>
      <c r="Y26">
        <v>0.70576220000000001</v>
      </c>
      <c r="Z26">
        <v>0.75006764999999997</v>
      </c>
      <c r="AA26">
        <v>0.72791490000000003</v>
      </c>
      <c r="AB26">
        <v>0.39005485000000001</v>
      </c>
      <c r="AC26">
        <v>0.49417633</v>
      </c>
      <c r="AD26">
        <v>0.4421156</v>
      </c>
      <c r="AG26" t="s">
        <v>61</v>
      </c>
    </row>
    <row r="27" spans="1:33" x14ac:dyDescent="0.2">
      <c r="A27">
        <v>97</v>
      </c>
      <c r="B27" t="s">
        <v>408</v>
      </c>
      <c r="C27" t="s">
        <v>412</v>
      </c>
      <c r="D27" t="s">
        <v>42</v>
      </c>
      <c r="E27" t="s">
        <v>410</v>
      </c>
      <c r="F27" t="s">
        <v>413</v>
      </c>
      <c r="G27">
        <v>0</v>
      </c>
      <c r="H27">
        <v>5.1004536449909203E-2</v>
      </c>
      <c r="I27">
        <v>0.11214952915906901</v>
      </c>
      <c r="J27">
        <v>6.3357546925544697E-2</v>
      </c>
      <c r="K27">
        <v>0.22775906324386599</v>
      </c>
      <c r="L27">
        <v>0</v>
      </c>
      <c r="M27">
        <v>5.4574851989746103</v>
      </c>
      <c r="N27">
        <v>0.22807346284389499</v>
      </c>
      <c r="O27">
        <v>0.578488409519196</v>
      </c>
      <c r="P27">
        <v>1</v>
      </c>
      <c r="Q27">
        <v>0.39361271262168901</v>
      </c>
      <c r="R27" t="s">
        <v>39</v>
      </c>
      <c r="S27" t="s">
        <v>414</v>
      </c>
      <c r="T27">
        <v>1.4701775964521</v>
      </c>
      <c r="U27">
        <v>4</v>
      </c>
      <c r="V27">
        <v>7</v>
      </c>
      <c r="W27" t="s">
        <v>410</v>
      </c>
      <c r="X27" t="s">
        <v>415</v>
      </c>
      <c r="Y27">
        <v>0.73596709999999999</v>
      </c>
      <c r="Z27">
        <v>0.79986226999999999</v>
      </c>
      <c r="AA27">
        <v>0.76791465000000003</v>
      </c>
      <c r="AB27">
        <v>0.12801418000000001</v>
      </c>
      <c r="AC27">
        <v>0.16726188</v>
      </c>
      <c r="AD27">
        <v>0.14763802000000001</v>
      </c>
      <c r="AG27" t="s">
        <v>61</v>
      </c>
    </row>
    <row r="28" spans="1:33" x14ac:dyDescent="0.2">
      <c r="A28">
        <v>99</v>
      </c>
      <c r="B28" t="s">
        <v>418</v>
      </c>
      <c r="C28" t="s">
        <v>419</v>
      </c>
      <c r="D28" t="s">
        <v>35</v>
      </c>
      <c r="E28" t="s">
        <v>420</v>
      </c>
      <c r="F28" t="s">
        <v>421</v>
      </c>
      <c r="G28">
        <v>0.171123042702675</v>
      </c>
      <c r="H28">
        <v>2.8869301080703701E-2</v>
      </c>
      <c r="I28">
        <v>0.227272734045982</v>
      </c>
      <c r="J28">
        <v>0.28982299566268899</v>
      </c>
      <c r="K28">
        <v>5.8901812881231301E-2</v>
      </c>
      <c r="L28">
        <v>32</v>
      </c>
      <c r="M28">
        <v>3.1756231784820601</v>
      </c>
      <c r="N28">
        <v>0.35402965545654302</v>
      </c>
      <c r="O28">
        <v>0.31060773134231601</v>
      </c>
      <c r="P28">
        <v>0.54465460777282704</v>
      </c>
      <c r="Q28">
        <v>0.23322105407714799</v>
      </c>
      <c r="R28" t="s">
        <v>422</v>
      </c>
      <c r="S28" t="s">
        <v>423</v>
      </c>
      <c r="T28">
        <v>1.4228375545815599</v>
      </c>
      <c r="U28">
        <v>6</v>
      </c>
      <c r="V28">
        <v>8</v>
      </c>
      <c r="W28" t="s">
        <v>420</v>
      </c>
      <c r="X28" t="s">
        <v>424</v>
      </c>
      <c r="Y28">
        <v>0.70480790000000004</v>
      </c>
      <c r="Z28">
        <v>0.76135147000000003</v>
      </c>
      <c r="AA28">
        <v>0.7330797</v>
      </c>
      <c r="AB28">
        <v>0.5883543</v>
      </c>
      <c r="AC28">
        <v>0.24250274999999999</v>
      </c>
      <c r="AD28">
        <v>0.41542852000000002</v>
      </c>
      <c r="AG28" t="s">
        <v>61</v>
      </c>
    </row>
    <row r="29" spans="1:33" x14ac:dyDescent="0.2">
      <c r="A29">
        <v>112</v>
      </c>
      <c r="B29" t="s">
        <v>465</v>
      </c>
      <c r="C29" t="s">
        <v>468</v>
      </c>
      <c r="D29" t="s">
        <v>42</v>
      </c>
      <c r="E29" t="s">
        <v>469</v>
      </c>
      <c r="F29" t="s">
        <v>433</v>
      </c>
      <c r="G29">
        <v>0</v>
      </c>
      <c r="H29">
        <v>1.6633065417408902E-2</v>
      </c>
      <c r="I29">
        <v>4.5977011322975159E-2</v>
      </c>
      <c r="J29">
        <v>4.4115696102380801E-2</v>
      </c>
      <c r="K29">
        <v>6.6637881100177807E-2</v>
      </c>
      <c r="L29">
        <v>0</v>
      </c>
      <c r="M29">
        <v>1.44707667827606</v>
      </c>
      <c r="N29">
        <v>0.23771996796131101</v>
      </c>
      <c r="O29">
        <v>0.35860979557037398</v>
      </c>
      <c r="P29">
        <v>0.361769169569016</v>
      </c>
      <c r="Q29">
        <v>1</v>
      </c>
      <c r="R29" t="s">
        <v>470</v>
      </c>
      <c r="S29" t="s">
        <v>39</v>
      </c>
      <c r="T29">
        <v>1.2129405098032999</v>
      </c>
      <c r="U29">
        <v>5</v>
      </c>
      <c r="V29">
        <v>7</v>
      </c>
      <c r="W29" t="s">
        <v>466</v>
      </c>
      <c r="X29" t="s">
        <v>433</v>
      </c>
      <c r="Y29">
        <v>0.76994180000000001</v>
      </c>
      <c r="Z29">
        <v>0.67515729999999996</v>
      </c>
      <c r="AA29">
        <v>0.72254956000000004</v>
      </c>
      <c r="AB29">
        <v>0.57118124000000003</v>
      </c>
      <c r="AC29">
        <v>0.16160055000000001</v>
      </c>
      <c r="AD29">
        <v>0.36639087999999997</v>
      </c>
      <c r="AE29" t="s">
        <v>72</v>
      </c>
      <c r="AF29" t="s">
        <v>76</v>
      </c>
      <c r="AG29" t="s">
        <v>61</v>
      </c>
    </row>
    <row r="30" spans="1:33" x14ac:dyDescent="0.2">
      <c r="A30">
        <v>115</v>
      </c>
      <c r="B30" t="s">
        <v>473</v>
      </c>
      <c r="C30" t="s">
        <v>478</v>
      </c>
      <c r="D30" t="s">
        <v>42</v>
      </c>
      <c r="E30" t="s">
        <v>479</v>
      </c>
      <c r="F30" t="s">
        <v>480</v>
      </c>
      <c r="G30">
        <v>0</v>
      </c>
      <c r="H30">
        <v>1.1573242023587201E-2</v>
      </c>
      <c r="I30">
        <v>6.8376071751117706E-2</v>
      </c>
      <c r="J30">
        <v>5.9397302567958797E-2</v>
      </c>
      <c r="K30">
        <v>9.4649434089660603E-2</v>
      </c>
      <c r="L30">
        <v>0</v>
      </c>
      <c r="M30">
        <v>1.3540692329406701</v>
      </c>
      <c r="N30">
        <v>0.46025159955024703</v>
      </c>
      <c r="O30">
        <v>0.25901961326599099</v>
      </c>
      <c r="P30">
        <v>0.33851730823516801</v>
      </c>
      <c r="Q30">
        <v>0.5</v>
      </c>
      <c r="R30" t="s">
        <v>481</v>
      </c>
      <c r="S30" t="s">
        <v>482</v>
      </c>
      <c r="T30">
        <v>1.0528821067479199</v>
      </c>
      <c r="U30">
        <v>5</v>
      </c>
      <c r="V30">
        <v>3</v>
      </c>
      <c r="W30" t="s">
        <v>475</v>
      </c>
      <c r="X30" t="s">
        <v>483</v>
      </c>
      <c r="Y30">
        <v>0.76593730000000004</v>
      </c>
      <c r="Z30">
        <v>0.75962746000000003</v>
      </c>
      <c r="AA30">
        <v>0.76278239999999997</v>
      </c>
      <c r="AB30">
        <v>0.31622942999999998</v>
      </c>
      <c r="AC30">
        <v>0.77937259999999997</v>
      </c>
      <c r="AD30">
        <v>0.54780099999999998</v>
      </c>
      <c r="AG30" t="s">
        <v>61</v>
      </c>
    </row>
    <row r="31" spans="1:33" x14ac:dyDescent="0.2">
      <c r="A31">
        <v>120</v>
      </c>
      <c r="B31" t="s">
        <v>495</v>
      </c>
      <c r="C31" t="s">
        <v>496</v>
      </c>
      <c r="D31" t="s">
        <v>35</v>
      </c>
      <c r="E31" t="s">
        <v>497</v>
      </c>
      <c r="F31" t="s">
        <v>498</v>
      </c>
      <c r="G31">
        <v>1.49253690615296E-2</v>
      </c>
      <c r="H31">
        <v>1.0561827570199999E-2</v>
      </c>
      <c r="I31">
        <v>3.3707864582538598E-2</v>
      </c>
      <c r="J31">
        <v>0.26244822144508401</v>
      </c>
      <c r="K31">
        <v>0.30693960189819303</v>
      </c>
      <c r="L31">
        <v>3</v>
      </c>
      <c r="M31">
        <v>0.94000267982482899</v>
      </c>
      <c r="N31">
        <v>0.24079568684101099</v>
      </c>
      <c r="O31">
        <v>0.56852078437805198</v>
      </c>
      <c r="P31">
        <v>0.31333422660827598</v>
      </c>
      <c r="Q31">
        <v>1</v>
      </c>
      <c r="R31" t="s">
        <v>499</v>
      </c>
      <c r="S31" t="s">
        <v>39</v>
      </c>
      <c r="T31">
        <v>1.40689112834288</v>
      </c>
      <c r="U31">
        <v>5</v>
      </c>
      <c r="V31">
        <v>4</v>
      </c>
      <c r="W31" t="s">
        <v>500</v>
      </c>
      <c r="X31" t="s">
        <v>498</v>
      </c>
      <c r="Y31">
        <v>0.73534739999999998</v>
      </c>
      <c r="Z31">
        <v>0.84596760000000004</v>
      </c>
      <c r="AA31">
        <v>0.79065750000000001</v>
      </c>
      <c r="AB31">
        <v>2.2902219000000001E-2</v>
      </c>
      <c r="AC31">
        <v>0.49032252999999998</v>
      </c>
      <c r="AD31">
        <v>0.25661235999999998</v>
      </c>
      <c r="AG31" t="s">
        <v>61</v>
      </c>
    </row>
    <row r="32" spans="1:33" x14ac:dyDescent="0.2">
      <c r="A32">
        <v>125</v>
      </c>
      <c r="B32" t="s">
        <v>507</v>
      </c>
      <c r="C32" t="s">
        <v>513</v>
      </c>
      <c r="D32" t="s">
        <v>46</v>
      </c>
      <c r="G32">
        <v>2.98507511615753E-2</v>
      </c>
      <c r="H32">
        <v>0</v>
      </c>
      <c r="J32">
        <v>9.3628369271755205E-2</v>
      </c>
      <c r="K32">
        <v>2.1104723215103201E-2</v>
      </c>
      <c r="L32">
        <v>6</v>
      </c>
      <c r="M32">
        <v>0</v>
      </c>
      <c r="T32">
        <v>0.69091443307475697</v>
      </c>
      <c r="U32">
        <v>6</v>
      </c>
      <c r="V32">
        <v>7</v>
      </c>
      <c r="W32" t="s">
        <v>508</v>
      </c>
      <c r="X32" t="s">
        <v>514</v>
      </c>
      <c r="Y32">
        <v>0.78326289999999998</v>
      </c>
      <c r="Z32">
        <v>0.66128830000000005</v>
      </c>
      <c r="AA32">
        <v>0.72227560000000002</v>
      </c>
      <c r="AB32">
        <v>0.52317230000000003</v>
      </c>
      <c r="AC32">
        <v>5.2034944E-2</v>
      </c>
      <c r="AD32">
        <v>0.28760362</v>
      </c>
      <c r="AG32" t="s">
        <v>61</v>
      </c>
    </row>
    <row r="33" spans="1:33" x14ac:dyDescent="0.2">
      <c r="A33">
        <v>129</v>
      </c>
      <c r="B33" t="s">
        <v>524</v>
      </c>
      <c r="C33" t="s">
        <v>525</v>
      </c>
      <c r="D33" t="s">
        <v>35</v>
      </c>
      <c r="E33" t="s">
        <v>526</v>
      </c>
      <c r="F33" t="s">
        <v>527</v>
      </c>
      <c r="G33">
        <v>2.9556646943092301E-2</v>
      </c>
      <c r="H33">
        <v>8.4971133619546006E-3</v>
      </c>
      <c r="I33">
        <v>7.4468083679676098E-2</v>
      </c>
      <c r="J33">
        <v>0.28807416558265703</v>
      </c>
      <c r="K33">
        <v>6.1639029532671002E-2</v>
      </c>
      <c r="L33">
        <v>6</v>
      </c>
      <c r="M33">
        <v>0.79872870445251498</v>
      </c>
      <c r="N33">
        <v>0.29056313633918801</v>
      </c>
      <c r="O33">
        <v>0.53156566619873102</v>
      </c>
      <c r="P33">
        <v>0.47632339596748402</v>
      </c>
      <c r="Q33">
        <v>0.23955173790454901</v>
      </c>
      <c r="R33" t="s">
        <v>528</v>
      </c>
      <c r="S33" t="s">
        <v>529</v>
      </c>
      <c r="T33">
        <v>1.0739378500657499</v>
      </c>
      <c r="U33">
        <v>4</v>
      </c>
      <c r="V33">
        <v>5</v>
      </c>
      <c r="W33" t="s">
        <v>530</v>
      </c>
      <c r="X33" t="s">
        <v>531</v>
      </c>
      <c r="Y33">
        <v>0.71111760000000002</v>
      </c>
      <c r="Z33">
        <v>0.80555889999999997</v>
      </c>
      <c r="AA33">
        <v>0.75833830000000002</v>
      </c>
      <c r="AB33">
        <v>3.8362159999999999E-2</v>
      </c>
      <c r="AC33">
        <v>0.2208088</v>
      </c>
      <c r="AD33">
        <v>0.12958547000000001</v>
      </c>
      <c r="AG33" t="s">
        <v>61</v>
      </c>
    </row>
    <row r="34" spans="1:33" x14ac:dyDescent="0.2">
      <c r="A34">
        <v>134</v>
      </c>
      <c r="B34" t="s">
        <v>537</v>
      </c>
      <c r="C34" t="s">
        <v>548</v>
      </c>
      <c r="D34" t="s">
        <v>46</v>
      </c>
      <c r="G34">
        <v>2.40963846445084E-2</v>
      </c>
      <c r="H34">
        <v>0</v>
      </c>
      <c r="J34">
        <v>0.30596736073494002</v>
      </c>
      <c r="K34">
        <v>2.66660824418068E-2</v>
      </c>
      <c r="L34">
        <v>4</v>
      </c>
      <c r="M34">
        <v>0</v>
      </c>
      <c r="T34">
        <v>1.32812136420645</v>
      </c>
      <c r="U34">
        <v>6</v>
      </c>
      <c r="V34">
        <v>4</v>
      </c>
      <c r="W34" t="s">
        <v>542</v>
      </c>
      <c r="X34" t="s">
        <v>549</v>
      </c>
      <c r="Y34">
        <v>0.76075559999999998</v>
      </c>
      <c r="Z34">
        <v>0.68594040000000001</v>
      </c>
      <c r="AA34">
        <v>0.72334799999999999</v>
      </c>
      <c r="AB34">
        <v>0.24604156999999999</v>
      </c>
      <c r="AC34">
        <v>6.9551150000000006E-2</v>
      </c>
      <c r="AD34">
        <v>0.15779635</v>
      </c>
      <c r="AG34" t="s">
        <v>61</v>
      </c>
    </row>
    <row r="35" spans="1:33" x14ac:dyDescent="0.2">
      <c r="A35">
        <v>135</v>
      </c>
      <c r="B35" t="s">
        <v>550</v>
      </c>
      <c r="C35" t="s">
        <v>551</v>
      </c>
      <c r="D35" t="s">
        <v>35</v>
      </c>
      <c r="E35" t="s">
        <v>552</v>
      </c>
      <c r="F35" t="s">
        <v>553</v>
      </c>
      <c r="G35">
        <v>5.2631586790084797E-2</v>
      </c>
      <c r="H35">
        <v>2.0984360948205001E-2</v>
      </c>
      <c r="I35">
        <v>4.59770113229752E-2</v>
      </c>
      <c r="J35">
        <v>9.3118116259574904E-2</v>
      </c>
      <c r="K35">
        <v>0.104837343096733</v>
      </c>
      <c r="L35">
        <v>11</v>
      </c>
      <c r="M35">
        <v>1.82563936710358</v>
      </c>
      <c r="N35">
        <v>0.523648321628571</v>
      </c>
      <c r="O35">
        <v>0.48071190714836098</v>
      </c>
      <c r="P35">
        <v>1</v>
      </c>
      <c r="Q35">
        <v>0.456409841775894</v>
      </c>
      <c r="R35" t="s">
        <v>39</v>
      </c>
      <c r="S35" t="s">
        <v>554</v>
      </c>
      <c r="T35">
        <v>1.08965634768755</v>
      </c>
      <c r="U35">
        <v>5</v>
      </c>
      <c r="V35">
        <v>6</v>
      </c>
      <c r="W35" t="s">
        <v>552</v>
      </c>
      <c r="X35" t="s">
        <v>553</v>
      </c>
      <c r="Y35">
        <v>0.74561655999999998</v>
      </c>
      <c r="Z35">
        <v>0.71386576000000002</v>
      </c>
      <c r="AA35">
        <v>0.72974116</v>
      </c>
      <c r="AB35">
        <v>0.18206261000000001</v>
      </c>
      <c r="AC35">
        <v>0.16522732000000001</v>
      </c>
      <c r="AD35">
        <v>0.17364495999999999</v>
      </c>
      <c r="AG35" t="s">
        <v>61</v>
      </c>
    </row>
    <row r="36" spans="1:33" x14ac:dyDescent="0.2">
      <c r="A36">
        <v>138</v>
      </c>
      <c r="B36" t="s">
        <v>560</v>
      </c>
      <c r="C36" t="s">
        <v>561</v>
      </c>
      <c r="D36" t="s">
        <v>35</v>
      </c>
      <c r="E36" t="s">
        <v>562</v>
      </c>
      <c r="F36" t="s">
        <v>563</v>
      </c>
      <c r="G36">
        <v>4.0000006556510898E-2</v>
      </c>
      <c r="H36">
        <v>5.2071519196033499E-2</v>
      </c>
      <c r="I36">
        <v>8.9743591845035595E-2</v>
      </c>
      <c r="J36">
        <v>0.239401265978813</v>
      </c>
      <c r="K36">
        <v>0.26591733098030101</v>
      </c>
      <c r="L36">
        <v>10</v>
      </c>
      <c r="M36">
        <v>4.0615782737731898</v>
      </c>
      <c r="N36">
        <v>0.41874238848686202</v>
      </c>
      <c r="O36">
        <v>0.53369575738906905</v>
      </c>
      <c r="P36">
        <v>0.58022546768188499</v>
      </c>
      <c r="Q36">
        <v>1</v>
      </c>
      <c r="R36" t="s">
        <v>564</v>
      </c>
      <c r="S36" t="s">
        <v>39</v>
      </c>
      <c r="T36">
        <v>0.56177000206564198</v>
      </c>
      <c r="U36">
        <v>6</v>
      </c>
      <c r="V36">
        <v>6</v>
      </c>
      <c r="W36" t="s">
        <v>562</v>
      </c>
      <c r="X36" t="s">
        <v>563</v>
      </c>
      <c r="Y36">
        <v>0.62849580000000005</v>
      </c>
      <c r="Z36">
        <v>0.80656534000000002</v>
      </c>
      <c r="AA36">
        <v>0.71753060000000002</v>
      </c>
      <c r="AB36">
        <v>0.25406600000000001</v>
      </c>
      <c r="AC36">
        <v>0.27135160000000003</v>
      </c>
      <c r="AD36">
        <v>0.26270877999999998</v>
      </c>
      <c r="AG36" t="s">
        <v>61</v>
      </c>
    </row>
    <row r="37" spans="1:33" x14ac:dyDescent="0.2">
      <c r="A37">
        <v>142</v>
      </c>
      <c r="B37" t="s">
        <v>572</v>
      </c>
      <c r="C37" t="s">
        <v>575</v>
      </c>
      <c r="D37" t="s">
        <v>42</v>
      </c>
      <c r="E37" t="s">
        <v>573</v>
      </c>
      <c r="F37" t="s">
        <v>576</v>
      </c>
      <c r="G37">
        <v>0</v>
      </c>
      <c r="H37">
        <v>1.8676707521080999E-2</v>
      </c>
      <c r="I37">
        <v>4.9504950642585803E-2</v>
      </c>
      <c r="J37">
        <v>2.98631452023983E-2</v>
      </c>
      <c r="K37">
        <v>0.18640884757041901</v>
      </c>
      <c r="L37">
        <v>0</v>
      </c>
      <c r="M37">
        <v>1.88634741306305</v>
      </c>
      <c r="N37">
        <v>0.42174944281578097</v>
      </c>
      <c r="O37">
        <v>0.22016999125480699</v>
      </c>
      <c r="P37">
        <v>1</v>
      </c>
      <c r="Q37">
        <v>0.377269476652145</v>
      </c>
      <c r="R37" t="s">
        <v>39</v>
      </c>
      <c r="S37" t="s">
        <v>577</v>
      </c>
      <c r="T37">
        <v>1.1615225369279401</v>
      </c>
      <c r="U37">
        <v>6</v>
      </c>
      <c r="V37">
        <v>7</v>
      </c>
      <c r="W37" t="s">
        <v>573</v>
      </c>
      <c r="X37" t="s">
        <v>576</v>
      </c>
      <c r="Y37">
        <v>0.76172779999999995</v>
      </c>
      <c r="Z37">
        <v>0.65930796000000003</v>
      </c>
      <c r="AA37">
        <v>0.71051790000000004</v>
      </c>
      <c r="AB37">
        <v>0.38268942</v>
      </c>
      <c r="AC37">
        <v>8.6707930000000003E-2</v>
      </c>
      <c r="AD37">
        <v>0.23469867</v>
      </c>
      <c r="AE37" t="s">
        <v>72</v>
      </c>
      <c r="AF37" t="s">
        <v>162</v>
      </c>
      <c r="AG37" t="s">
        <v>61</v>
      </c>
    </row>
    <row r="38" spans="1:33" x14ac:dyDescent="0.2">
      <c r="A38">
        <v>146</v>
      </c>
      <c r="B38" t="s">
        <v>580</v>
      </c>
      <c r="C38" t="s">
        <v>589</v>
      </c>
      <c r="D38" t="s">
        <v>46</v>
      </c>
      <c r="G38">
        <v>2.08333302289248E-2</v>
      </c>
      <c r="H38">
        <v>0</v>
      </c>
      <c r="J38">
        <v>0.33866128325462302</v>
      </c>
      <c r="K38">
        <v>2.14758198708296E-2</v>
      </c>
      <c r="L38">
        <v>4</v>
      </c>
      <c r="M38">
        <v>0</v>
      </c>
      <c r="T38">
        <v>1.47431346909797</v>
      </c>
      <c r="U38">
        <v>5</v>
      </c>
      <c r="V38">
        <v>4</v>
      </c>
      <c r="W38" t="s">
        <v>582</v>
      </c>
      <c r="X38" t="s">
        <v>590</v>
      </c>
      <c r="Y38">
        <v>0.68423509999999998</v>
      </c>
      <c r="Z38">
        <v>0.55239579999999999</v>
      </c>
      <c r="AA38">
        <v>0.61831546000000004</v>
      </c>
      <c r="AB38">
        <v>0.26644859999999998</v>
      </c>
      <c r="AC38">
        <v>2.7797454999999999E-2</v>
      </c>
      <c r="AD38">
        <v>0.14712301999999999</v>
      </c>
      <c r="AG38" t="s">
        <v>61</v>
      </c>
    </row>
    <row r="39" spans="1:33" x14ac:dyDescent="0.2">
      <c r="A39">
        <v>154</v>
      </c>
      <c r="B39" t="s">
        <v>609</v>
      </c>
      <c r="C39" t="s">
        <v>616</v>
      </c>
      <c r="D39" t="s">
        <v>42</v>
      </c>
      <c r="E39" t="s">
        <v>617</v>
      </c>
      <c r="F39" t="s">
        <v>618</v>
      </c>
      <c r="G39">
        <v>0</v>
      </c>
      <c r="H39">
        <v>1.18099357932806E-2</v>
      </c>
      <c r="I39">
        <v>3.6144576966762501E-2</v>
      </c>
      <c r="J39">
        <v>3.4115530550479903E-2</v>
      </c>
      <c r="K39">
        <v>4.74102012813091E-2</v>
      </c>
      <c r="L39">
        <v>0</v>
      </c>
      <c r="M39">
        <v>0.98022472858428999</v>
      </c>
      <c r="N39">
        <v>0.40544638037681602</v>
      </c>
      <c r="O39">
        <v>0.29527580738067599</v>
      </c>
      <c r="P39">
        <v>0.5</v>
      </c>
      <c r="Q39">
        <v>0.65348315238952603</v>
      </c>
      <c r="R39" t="s">
        <v>619</v>
      </c>
      <c r="S39" t="s">
        <v>620</v>
      </c>
      <c r="T39">
        <v>1.4813530256109899</v>
      </c>
      <c r="U39">
        <v>5</v>
      </c>
      <c r="V39">
        <v>7</v>
      </c>
      <c r="W39" t="s">
        <v>611</v>
      </c>
      <c r="X39" t="s">
        <v>618</v>
      </c>
      <c r="Y39">
        <v>0.74247134000000004</v>
      </c>
      <c r="Z39">
        <v>0.75921523999999996</v>
      </c>
      <c r="AA39">
        <v>0.75084329999999999</v>
      </c>
      <c r="AB39">
        <v>0.24318637000000001</v>
      </c>
      <c r="AC39">
        <v>0.22011140000000001</v>
      </c>
      <c r="AD39">
        <v>0.23164889</v>
      </c>
      <c r="AG39" t="s">
        <v>61</v>
      </c>
    </row>
    <row r="40" spans="1:33" x14ac:dyDescent="0.2">
      <c r="A40">
        <v>157</v>
      </c>
      <c r="B40" t="s">
        <v>623</v>
      </c>
      <c r="C40" t="s">
        <v>630</v>
      </c>
      <c r="D40" t="s">
        <v>42</v>
      </c>
      <c r="E40" t="s">
        <v>625</v>
      </c>
      <c r="F40" t="s">
        <v>631</v>
      </c>
      <c r="G40">
        <v>0</v>
      </c>
      <c r="H40">
        <v>1.42837967723608E-2</v>
      </c>
      <c r="I40">
        <v>5.0505049526691437E-2</v>
      </c>
      <c r="J40">
        <v>2.7714967727661102E-2</v>
      </c>
      <c r="K40">
        <v>6.8275615572929396E-2</v>
      </c>
      <c r="L40">
        <v>0</v>
      </c>
      <c r="M40">
        <v>1.41409587860107</v>
      </c>
      <c r="N40">
        <v>0.40051132440567</v>
      </c>
      <c r="O40">
        <v>0.39438501000404402</v>
      </c>
      <c r="P40">
        <v>0.28281918168067899</v>
      </c>
      <c r="Q40">
        <v>1</v>
      </c>
      <c r="R40" t="s">
        <v>627</v>
      </c>
      <c r="S40" t="s">
        <v>39</v>
      </c>
      <c r="T40">
        <v>0.245927069818098</v>
      </c>
      <c r="U40">
        <v>5</v>
      </c>
      <c r="V40">
        <v>5</v>
      </c>
      <c r="W40" t="s">
        <v>629</v>
      </c>
      <c r="X40" t="s">
        <v>631</v>
      </c>
      <c r="Y40">
        <v>0.48890853000000001</v>
      </c>
      <c r="Z40">
        <v>0.78344999999999998</v>
      </c>
      <c r="AA40">
        <v>0.63617926999999996</v>
      </c>
      <c r="AB40">
        <v>8.1536955999999994E-2</v>
      </c>
      <c r="AC40">
        <v>7.1637443999999995E-2</v>
      </c>
      <c r="AD40">
        <v>7.6587199999999994E-2</v>
      </c>
      <c r="AE40" t="s">
        <v>72</v>
      </c>
      <c r="AF40" t="s">
        <v>76</v>
      </c>
      <c r="AG40" t="s">
        <v>61</v>
      </c>
    </row>
    <row r="41" spans="1:33" x14ac:dyDescent="0.2">
      <c r="A41">
        <v>159</v>
      </c>
      <c r="B41" t="s">
        <v>634</v>
      </c>
      <c r="C41" t="s">
        <v>383</v>
      </c>
      <c r="D41" t="s">
        <v>35</v>
      </c>
      <c r="E41" t="s">
        <v>635</v>
      </c>
      <c r="F41" t="s">
        <v>384</v>
      </c>
      <c r="G41">
        <v>0.108571425080299</v>
      </c>
      <c r="H41">
        <v>6.9444447755813599E-2</v>
      </c>
      <c r="I41">
        <v>0.138888895511627</v>
      </c>
      <c r="J41">
        <v>0.19469963014125799</v>
      </c>
      <c r="K41">
        <v>0.17489999532699599</v>
      </c>
      <c r="L41">
        <v>19</v>
      </c>
      <c r="M41">
        <v>7.5</v>
      </c>
      <c r="N41">
        <v>0.52908849716186501</v>
      </c>
      <c r="O41">
        <v>0.406821429729462</v>
      </c>
      <c r="P41">
        <v>1</v>
      </c>
      <c r="Q41">
        <v>0.5</v>
      </c>
      <c r="R41" t="s">
        <v>39</v>
      </c>
      <c r="S41" t="s">
        <v>574</v>
      </c>
      <c r="T41">
        <v>1.0255887653885001</v>
      </c>
      <c r="U41">
        <v>6</v>
      </c>
      <c r="V41">
        <v>5</v>
      </c>
      <c r="W41" t="s">
        <v>635</v>
      </c>
      <c r="X41" t="s">
        <v>384</v>
      </c>
      <c r="Y41">
        <v>0.7858948</v>
      </c>
      <c r="Z41">
        <v>0.78923094000000005</v>
      </c>
      <c r="AA41">
        <v>0.78756285000000004</v>
      </c>
      <c r="AB41">
        <v>0.53203756000000002</v>
      </c>
      <c r="AC41">
        <v>0.15093202999999999</v>
      </c>
      <c r="AD41">
        <v>0.34148478999999998</v>
      </c>
      <c r="AG41" t="s">
        <v>61</v>
      </c>
    </row>
    <row r="42" spans="1:33" x14ac:dyDescent="0.2">
      <c r="A42">
        <v>165</v>
      </c>
      <c r="B42" t="s">
        <v>652</v>
      </c>
      <c r="C42" t="s">
        <v>653</v>
      </c>
      <c r="D42" t="s">
        <v>35</v>
      </c>
      <c r="E42" t="s">
        <v>654</v>
      </c>
      <c r="F42" t="s">
        <v>655</v>
      </c>
      <c r="G42">
        <v>0.14163091778755199</v>
      </c>
      <c r="H42">
        <v>6.5772116184234605E-2</v>
      </c>
      <c r="I42">
        <v>0.10000000149011599</v>
      </c>
      <c r="J42">
        <v>0.10065480321645701</v>
      </c>
      <c r="K42">
        <v>0.161404773592949</v>
      </c>
      <c r="L42">
        <v>33</v>
      </c>
      <c r="M42">
        <v>5.2617692947387704</v>
      </c>
      <c r="N42">
        <v>0.54485976696014404</v>
      </c>
      <c r="O42">
        <v>0.50103396177291903</v>
      </c>
      <c r="P42">
        <v>0.65772116184234597</v>
      </c>
      <c r="Q42">
        <v>1</v>
      </c>
      <c r="R42" t="s">
        <v>656</v>
      </c>
      <c r="S42" t="s">
        <v>39</v>
      </c>
      <c r="T42">
        <v>1.1724337808477401</v>
      </c>
      <c r="U42">
        <v>5</v>
      </c>
      <c r="V42">
        <v>6</v>
      </c>
      <c r="W42" t="s">
        <v>654</v>
      </c>
      <c r="X42" t="s">
        <v>655</v>
      </c>
      <c r="Y42">
        <v>0.75136460000000005</v>
      </c>
      <c r="Z42">
        <v>0.81351229999999997</v>
      </c>
      <c r="AA42">
        <v>0.78243845999999995</v>
      </c>
      <c r="AB42">
        <v>0.56721705</v>
      </c>
      <c r="AC42">
        <v>0.44301888</v>
      </c>
      <c r="AD42">
        <v>0.50511795000000004</v>
      </c>
      <c r="AG42" t="s">
        <v>61</v>
      </c>
    </row>
    <row r="43" spans="1:33" x14ac:dyDescent="0.2">
      <c r="A43">
        <v>170</v>
      </c>
      <c r="B43" t="s">
        <v>663</v>
      </c>
      <c r="C43" t="s">
        <v>674</v>
      </c>
      <c r="D43" t="s">
        <v>46</v>
      </c>
      <c r="G43">
        <v>2.60869693011045E-2</v>
      </c>
      <c r="H43">
        <v>0</v>
      </c>
      <c r="J43">
        <v>8.8942475616931901E-2</v>
      </c>
      <c r="K43">
        <v>2.3200087249279001E-2</v>
      </c>
      <c r="L43">
        <v>3</v>
      </c>
      <c r="M43">
        <v>0</v>
      </c>
      <c r="T43">
        <v>0.190876277591981</v>
      </c>
      <c r="U43">
        <v>6</v>
      </c>
      <c r="V43">
        <v>6</v>
      </c>
      <c r="W43" t="s">
        <v>669</v>
      </c>
      <c r="X43" t="s">
        <v>675</v>
      </c>
      <c r="Y43">
        <v>0.77477074000000001</v>
      </c>
      <c r="Z43">
        <v>0.76656234000000001</v>
      </c>
      <c r="AA43">
        <v>0.77066654000000001</v>
      </c>
      <c r="AB43">
        <v>0.36413259999999997</v>
      </c>
      <c r="AC43">
        <v>0.42770176999999998</v>
      </c>
      <c r="AD43">
        <v>0.39591717999999998</v>
      </c>
      <c r="AG43" t="s">
        <v>61</v>
      </c>
    </row>
    <row r="44" spans="1:33" x14ac:dyDescent="0.2">
      <c r="A44">
        <v>172</v>
      </c>
      <c r="B44" t="s">
        <v>676</v>
      </c>
      <c r="C44" t="s">
        <v>679</v>
      </c>
      <c r="D44" t="s">
        <v>42</v>
      </c>
      <c r="E44" t="s">
        <v>677</v>
      </c>
      <c r="F44" t="s">
        <v>680</v>
      </c>
      <c r="G44">
        <v>0</v>
      </c>
      <c r="H44">
        <v>1.9736841320991499E-2</v>
      </c>
      <c r="I44">
        <v>3.9473682641982998E-2</v>
      </c>
      <c r="J44">
        <v>1.66664775460958E-2</v>
      </c>
      <c r="K44">
        <v>6.0100000351667397E-2</v>
      </c>
      <c r="L44">
        <v>0</v>
      </c>
      <c r="M44">
        <v>1.5</v>
      </c>
      <c r="N44">
        <v>0.50379550457000699</v>
      </c>
      <c r="O44">
        <v>0.57283145189285301</v>
      </c>
      <c r="P44">
        <v>0.5</v>
      </c>
      <c r="Q44">
        <v>1</v>
      </c>
      <c r="R44" t="s">
        <v>678</v>
      </c>
      <c r="S44" t="s">
        <v>39</v>
      </c>
      <c r="T44">
        <v>0.74598169524061897</v>
      </c>
      <c r="U44">
        <v>5</v>
      </c>
      <c r="V44">
        <v>4</v>
      </c>
      <c r="W44" t="s">
        <v>677</v>
      </c>
      <c r="X44" t="s">
        <v>680</v>
      </c>
      <c r="Y44">
        <v>0.73174340000000004</v>
      </c>
      <c r="Z44">
        <v>0.70554024000000004</v>
      </c>
      <c r="AA44">
        <v>0.7186418</v>
      </c>
      <c r="AB44">
        <v>0.20821120000000001</v>
      </c>
      <c r="AC44">
        <v>0.17999973999999999</v>
      </c>
      <c r="AD44">
        <v>0.19410548</v>
      </c>
      <c r="AG44" t="s">
        <v>61</v>
      </c>
    </row>
    <row r="45" spans="1:33" x14ac:dyDescent="0.2">
      <c r="A45">
        <v>176</v>
      </c>
      <c r="B45" t="s">
        <v>683</v>
      </c>
      <c r="C45" t="s">
        <v>692</v>
      </c>
      <c r="D45" t="s">
        <v>46</v>
      </c>
      <c r="G45">
        <v>4.1860468685626998E-2</v>
      </c>
      <c r="H45">
        <v>0</v>
      </c>
      <c r="J45">
        <v>0.243008673191071</v>
      </c>
      <c r="K45">
        <v>2.5400001555681201E-2</v>
      </c>
      <c r="L45">
        <v>9</v>
      </c>
      <c r="M45">
        <v>0</v>
      </c>
      <c r="T45">
        <v>1.24329547485786</v>
      </c>
      <c r="U45">
        <v>6</v>
      </c>
      <c r="V45">
        <v>5</v>
      </c>
      <c r="W45" t="s">
        <v>685</v>
      </c>
      <c r="X45" t="s">
        <v>693</v>
      </c>
      <c r="Y45">
        <v>0.71423080000000005</v>
      </c>
      <c r="Z45">
        <v>0.68457840000000003</v>
      </c>
      <c r="AA45">
        <v>0.69940460000000004</v>
      </c>
      <c r="AB45">
        <v>0.46361839999999999</v>
      </c>
      <c r="AC45">
        <v>4.7602470000000001E-2</v>
      </c>
      <c r="AD45">
        <v>0.25561043999999999</v>
      </c>
      <c r="AG45" t="s">
        <v>61</v>
      </c>
    </row>
    <row r="46" spans="1:33" x14ac:dyDescent="0.2">
      <c r="A46">
        <v>179</v>
      </c>
      <c r="B46" t="s">
        <v>694</v>
      </c>
      <c r="C46" t="s">
        <v>701</v>
      </c>
      <c r="D46" t="s">
        <v>46</v>
      </c>
      <c r="G46">
        <v>3.3557053655385999E-2</v>
      </c>
      <c r="H46">
        <v>0</v>
      </c>
      <c r="J46">
        <v>8.5013106465339702E-2</v>
      </c>
      <c r="K46">
        <v>3.7777731195092002E-3</v>
      </c>
      <c r="L46">
        <v>5</v>
      </c>
      <c r="M46">
        <v>0</v>
      </c>
      <c r="T46">
        <v>0.98551110349411197</v>
      </c>
      <c r="U46">
        <v>6</v>
      </c>
      <c r="V46">
        <v>5</v>
      </c>
      <c r="W46" t="s">
        <v>699</v>
      </c>
      <c r="X46" t="s">
        <v>702</v>
      </c>
      <c r="Y46">
        <v>0.71597356000000001</v>
      </c>
      <c r="Z46">
        <v>0.75641440000000004</v>
      </c>
      <c r="AA46">
        <v>0.73619400000000002</v>
      </c>
      <c r="AB46">
        <v>0.20806131999999999</v>
      </c>
      <c r="AC46">
        <v>0.78858300000000003</v>
      </c>
      <c r="AD46">
        <v>0.49832216000000001</v>
      </c>
      <c r="AG46" t="s">
        <v>61</v>
      </c>
    </row>
    <row r="47" spans="1:33" x14ac:dyDescent="0.2">
      <c r="A47">
        <v>182</v>
      </c>
      <c r="B47" t="s">
        <v>703</v>
      </c>
      <c r="C47" t="s">
        <v>710</v>
      </c>
      <c r="D47" t="s">
        <v>46</v>
      </c>
      <c r="G47">
        <v>2.6490058749914201E-2</v>
      </c>
      <c r="H47">
        <v>0</v>
      </c>
      <c r="J47">
        <v>1.92920714616776E-2</v>
      </c>
      <c r="K47">
        <v>6.5990379080175998E-3</v>
      </c>
      <c r="L47">
        <v>4</v>
      </c>
      <c r="M47">
        <v>0</v>
      </c>
      <c r="T47">
        <v>1.12488347311577</v>
      </c>
      <c r="U47">
        <v>4</v>
      </c>
      <c r="V47">
        <v>3</v>
      </c>
      <c r="W47" t="s">
        <v>704</v>
      </c>
      <c r="X47" t="s">
        <v>711</v>
      </c>
      <c r="Y47">
        <v>0.75442929999999997</v>
      </c>
      <c r="Z47">
        <v>0.79744389999999998</v>
      </c>
      <c r="AA47">
        <v>0.77593659999999998</v>
      </c>
      <c r="AB47">
        <v>0.26293070000000002</v>
      </c>
      <c r="AC47">
        <v>0.35340519999999997</v>
      </c>
      <c r="AD47">
        <v>0.30816792999999998</v>
      </c>
      <c r="AE47" t="s">
        <v>72</v>
      </c>
      <c r="AF47" t="s">
        <v>76</v>
      </c>
      <c r="AG47" t="s">
        <v>61</v>
      </c>
    </row>
    <row r="48" spans="1:33" x14ac:dyDescent="0.2">
      <c r="A48">
        <v>186</v>
      </c>
      <c r="B48" t="s">
        <v>720</v>
      </c>
      <c r="C48" t="s">
        <v>721</v>
      </c>
      <c r="D48" t="s">
        <v>35</v>
      </c>
      <c r="E48" t="s">
        <v>722</v>
      </c>
      <c r="F48" t="s">
        <v>723</v>
      </c>
      <c r="G48">
        <v>4.7210302203893703E-2</v>
      </c>
      <c r="H48">
        <v>2.66666673123837E-2</v>
      </c>
      <c r="I48">
        <v>5.3333334624767303E-2</v>
      </c>
      <c r="J48">
        <v>0.50616765022277799</v>
      </c>
      <c r="K48">
        <v>0.29405000805854797</v>
      </c>
      <c r="L48">
        <v>11</v>
      </c>
      <c r="M48">
        <v>2</v>
      </c>
      <c r="N48">
        <v>0.63412553071975697</v>
      </c>
      <c r="O48">
        <v>0.65515810251235995</v>
      </c>
      <c r="P48">
        <v>1</v>
      </c>
      <c r="Q48">
        <v>0.5</v>
      </c>
      <c r="R48" t="s">
        <v>39</v>
      </c>
      <c r="S48" t="s">
        <v>724</v>
      </c>
      <c r="T48">
        <v>0.59012141113972805</v>
      </c>
      <c r="U48">
        <v>6</v>
      </c>
      <c r="V48">
        <v>5</v>
      </c>
      <c r="W48" t="s">
        <v>722</v>
      </c>
      <c r="X48" t="s">
        <v>723</v>
      </c>
      <c r="Y48">
        <v>0.78879136000000005</v>
      </c>
      <c r="Z48">
        <v>0.82719684000000004</v>
      </c>
      <c r="AA48">
        <v>0.80799410000000005</v>
      </c>
      <c r="AB48">
        <v>0.14649429999999999</v>
      </c>
      <c r="AC48">
        <v>0.29374830000000002</v>
      </c>
      <c r="AD48">
        <v>0.22012129999999999</v>
      </c>
      <c r="AE48" t="s">
        <v>72</v>
      </c>
      <c r="AF48" t="s">
        <v>76</v>
      </c>
      <c r="AG48" t="s">
        <v>61</v>
      </c>
    </row>
    <row r="49" spans="1:33" x14ac:dyDescent="0.2">
      <c r="A49">
        <v>190</v>
      </c>
      <c r="B49" t="s">
        <v>727</v>
      </c>
      <c r="C49" t="s">
        <v>733</v>
      </c>
      <c r="D49" t="s">
        <v>42</v>
      </c>
      <c r="E49" t="s">
        <v>729</v>
      </c>
      <c r="F49" t="s">
        <v>276</v>
      </c>
      <c r="G49">
        <v>0</v>
      </c>
      <c r="H49">
        <v>1.6697335988283199E-2</v>
      </c>
      <c r="I49">
        <v>4.5871559530496597E-2</v>
      </c>
      <c r="J49">
        <v>2.7867045253515198E-2</v>
      </c>
      <c r="K49">
        <v>1.4305274933576599E-2</v>
      </c>
      <c r="L49">
        <v>0</v>
      </c>
      <c r="M49">
        <v>1.8200097084045399</v>
      </c>
      <c r="N49">
        <v>0.322683215141296</v>
      </c>
      <c r="O49">
        <v>0.23730988800525701</v>
      </c>
      <c r="P49">
        <v>0.36400192975997903</v>
      </c>
      <c r="Q49">
        <v>1</v>
      </c>
      <c r="R49" t="s">
        <v>731</v>
      </c>
      <c r="S49" t="s">
        <v>39</v>
      </c>
      <c r="T49">
        <v>1.4953662076809</v>
      </c>
      <c r="U49">
        <v>6</v>
      </c>
      <c r="V49">
        <v>8</v>
      </c>
      <c r="W49" t="s">
        <v>732</v>
      </c>
      <c r="X49" t="s">
        <v>276</v>
      </c>
      <c r="Y49">
        <v>0.64933629999999998</v>
      </c>
      <c r="Z49">
        <v>0.31127155000000001</v>
      </c>
      <c r="AA49">
        <v>0.48030390000000001</v>
      </c>
      <c r="AB49">
        <v>4.8217030000000001E-2</v>
      </c>
      <c r="AC49">
        <v>2.4442129999999999E-2</v>
      </c>
      <c r="AD49">
        <v>3.632958E-2</v>
      </c>
      <c r="AE49" t="s">
        <v>72</v>
      </c>
      <c r="AF49" t="s">
        <v>76</v>
      </c>
      <c r="AG49" t="s">
        <v>61</v>
      </c>
    </row>
    <row r="50" spans="1:33" x14ac:dyDescent="0.2">
      <c r="A50">
        <v>192</v>
      </c>
      <c r="B50" t="s">
        <v>33</v>
      </c>
      <c r="C50" t="s">
        <v>310</v>
      </c>
      <c r="D50" t="s">
        <v>736</v>
      </c>
      <c r="G50">
        <v>0</v>
      </c>
      <c r="H50">
        <v>0</v>
      </c>
      <c r="J50">
        <v>2.3017078638076779E-2</v>
      </c>
      <c r="K50">
        <v>1.041271444410086E-2</v>
      </c>
      <c r="L50">
        <v>0</v>
      </c>
      <c r="M50">
        <v>0</v>
      </c>
      <c r="U50">
        <v>6</v>
      </c>
      <c r="V50">
        <v>5</v>
      </c>
      <c r="W50" t="s">
        <v>36</v>
      </c>
      <c r="X50" t="s">
        <v>314</v>
      </c>
      <c r="AG50" t="s">
        <v>61</v>
      </c>
    </row>
    <row r="51" spans="1:33" x14ac:dyDescent="0.2">
      <c r="A51">
        <v>196</v>
      </c>
      <c r="B51" t="s">
        <v>90</v>
      </c>
      <c r="C51" t="s">
        <v>728</v>
      </c>
      <c r="D51" t="s">
        <v>736</v>
      </c>
      <c r="G51">
        <v>0</v>
      </c>
      <c r="H51">
        <v>0</v>
      </c>
      <c r="J51">
        <v>2.9550265520811081E-2</v>
      </c>
      <c r="K51">
        <v>1.020000036805868E-2</v>
      </c>
      <c r="L51">
        <v>0</v>
      </c>
      <c r="M51">
        <v>0</v>
      </c>
      <c r="U51">
        <v>5</v>
      </c>
      <c r="V51">
        <v>7</v>
      </c>
      <c r="W51" t="s">
        <v>92</v>
      </c>
      <c r="X51" t="s">
        <v>730</v>
      </c>
      <c r="AG51" t="s">
        <v>61</v>
      </c>
    </row>
    <row r="52" spans="1:33" x14ac:dyDescent="0.2">
      <c r="A52">
        <v>204</v>
      </c>
      <c r="B52" t="s">
        <v>192</v>
      </c>
      <c r="C52" t="s">
        <v>183</v>
      </c>
      <c r="D52" t="s">
        <v>736</v>
      </c>
      <c r="G52">
        <v>0</v>
      </c>
      <c r="H52">
        <v>0</v>
      </c>
      <c r="J52">
        <v>2.7026191353797909E-2</v>
      </c>
      <c r="K52">
        <v>1.1829564347863201E-2</v>
      </c>
      <c r="L52">
        <v>0</v>
      </c>
      <c r="M52">
        <v>0</v>
      </c>
      <c r="U52">
        <v>4</v>
      </c>
      <c r="V52">
        <v>6</v>
      </c>
      <c r="W52" t="s">
        <v>198</v>
      </c>
      <c r="X52" t="s">
        <v>187</v>
      </c>
      <c r="AG52" t="s">
        <v>61</v>
      </c>
    </row>
    <row r="53" spans="1:33" x14ac:dyDescent="0.2">
      <c r="A53">
        <v>208</v>
      </c>
      <c r="B53" t="s">
        <v>238</v>
      </c>
      <c r="C53" t="s">
        <v>713</v>
      </c>
      <c r="D53" t="s">
        <v>736</v>
      </c>
      <c r="G53">
        <v>0</v>
      </c>
      <c r="H53">
        <v>0</v>
      </c>
      <c r="J53">
        <v>3.4071656409651041E-3</v>
      </c>
      <c r="K53">
        <v>2.4342983961105351E-3</v>
      </c>
      <c r="L53">
        <v>0</v>
      </c>
      <c r="M53">
        <v>0</v>
      </c>
      <c r="U53">
        <v>5</v>
      </c>
      <c r="V53">
        <v>7</v>
      </c>
      <c r="W53" t="s">
        <v>240</v>
      </c>
      <c r="X53" t="s">
        <v>717</v>
      </c>
      <c r="AG53" t="s">
        <v>61</v>
      </c>
    </row>
    <row r="54" spans="1:33" x14ac:dyDescent="0.2">
      <c r="A54">
        <v>212</v>
      </c>
      <c r="B54" t="s">
        <v>286</v>
      </c>
      <c r="C54" t="s">
        <v>363</v>
      </c>
      <c r="D54" t="s">
        <v>736</v>
      </c>
      <c r="G54">
        <v>0</v>
      </c>
      <c r="H54">
        <v>0</v>
      </c>
      <c r="J54">
        <v>8.0433329567313194E-3</v>
      </c>
      <c r="K54">
        <v>6.7888903431594372E-3</v>
      </c>
      <c r="L54">
        <v>0</v>
      </c>
      <c r="M54">
        <v>0</v>
      </c>
      <c r="U54">
        <v>4</v>
      </c>
      <c r="V54">
        <v>5</v>
      </c>
      <c r="W54" t="s">
        <v>288</v>
      </c>
      <c r="X54" t="s">
        <v>739</v>
      </c>
      <c r="AG54" t="s">
        <v>61</v>
      </c>
    </row>
    <row r="55" spans="1:33" x14ac:dyDescent="0.2">
      <c r="A55">
        <v>214</v>
      </c>
      <c r="B55" t="s">
        <v>309</v>
      </c>
      <c r="C55" t="s">
        <v>395</v>
      </c>
      <c r="D55" t="s">
        <v>736</v>
      </c>
      <c r="G55">
        <v>0</v>
      </c>
      <c r="H55">
        <v>0</v>
      </c>
      <c r="J55">
        <v>2.95533686876297E-2</v>
      </c>
      <c r="K55">
        <v>1.8178202211856839E-2</v>
      </c>
      <c r="L55">
        <v>0</v>
      </c>
      <c r="M55">
        <v>0</v>
      </c>
      <c r="U55">
        <v>5</v>
      </c>
      <c r="V55">
        <v>7</v>
      </c>
      <c r="W55" t="s">
        <v>311</v>
      </c>
      <c r="X55" t="s">
        <v>397</v>
      </c>
      <c r="AG55" t="s">
        <v>61</v>
      </c>
    </row>
    <row r="56" spans="1:33" x14ac:dyDescent="0.2">
      <c r="A56">
        <v>220</v>
      </c>
      <c r="B56" t="s">
        <v>371</v>
      </c>
      <c r="C56" t="s">
        <v>287</v>
      </c>
      <c r="D56" t="s">
        <v>736</v>
      </c>
      <c r="G56">
        <v>0</v>
      </c>
      <c r="H56">
        <v>0</v>
      </c>
      <c r="J56">
        <v>5.6621074676513672E-2</v>
      </c>
      <c r="K56">
        <v>3.7200000137090683E-2</v>
      </c>
      <c r="L56">
        <v>0</v>
      </c>
      <c r="M56">
        <v>0</v>
      </c>
      <c r="U56">
        <v>6</v>
      </c>
      <c r="V56">
        <v>5</v>
      </c>
      <c r="W56" t="s">
        <v>373</v>
      </c>
      <c r="X56" t="s">
        <v>289</v>
      </c>
      <c r="AG56" t="s">
        <v>61</v>
      </c>
    </row>
    <row r="57" spans="1:33" x14ac:dyDescent="0.2">
      <c r="A57">
        <v>226</v>
      </c>
      <c r="B57" t="s">
        <v>431</v>
      </c>
      <c r="C57" t="s">
        <v>684</v>
      </c>
      <c r="D57" t="s">
        <v>736</v>
      </c>
      <c r="G57">
        <v>0</v>
      </c>
      <c r="H57">
        <v>0</v>
      </c>
      <c r="J57">
        <v>7.3590492829680443E-3</v>
      </c>
      <c r="K57">
        <v>1.1692906729877E-2</v>
      </c>
      <c r="L57">
        <v>0</v>
      </c>
      <c r="M57">
        <v>0</v>
      </c>
      <c r="U57">
        <v>6</v>
      </c>
      <c r="V57">
        <v>4</v>
      </c>
      <c r="W57" t="s">
        <v>433</v>
      </c>
      <c r="X57" t="s">
        <v>688</v>
      </c>
      <c r="AG57" t="s">
        <v>61</v>
      </c>
    </row>
    <row r="58" spans="1:33" x14ac:dyDescent="0.2">
      <c r="A58">
        <v>227</v>
      </c>
      <c r="B58" t="s">
        <v>442</v>
      </c>
      <c r="C58" t="s">
        <v>169</v>
      </c>
      <c r="D58" t="s">
        <v>736</v>
      </c>
      <c r="G58">
        <v>0</v>
      </c>
      <c r="H58">
        <v>0</v>
      </c>
      <c r="J58">
        <v>1.1447564698755739E-2</v>
      </c>
      <c r="K58">
        <v>4.4385511428117752E-3</v>
      </c>
      <c r="L58">
        <v>0</v>
      </c>
      <c r="M58">
        <v>0</v>
      </c>
      <c r="U58">
        <v>4</v>
      </c>
      <c r="V58">
        <v>8</v>
      </c>
      <c r="W58" t="s">
        <v>448</v>
      </c>
      <c r="X58" t="s">
        <v>171</v>
      </c>
      <c r="AG58" t="s">
        <v>61</v>
      </c>
    </row>
    <row r="59" spans="1:33" x14ac:dyDescent="0.2">
      <c r="A59">
        <v>228</v>
      </c>
      <c r="B59" t="s">
        <v>456</v>
      </c>
      <c r="C59" t="s">
        <v>299</v>
      </c>
      <c r="D59" t="s">
        <v>736</v>
      </c>
      <c r="G59">
        <v>0</v>
      </c>
      <c r="H59">
        <v>0</v>
      </c>
      <c r="J59">
        <v>2.3121286183595661E-2</v>
      </c>
      <c r="K59">
        <v>2.8200000524520871E-2</v>
      </c>
      <c r="L59">
        <v>0</v>
      </c>
      <c r="M59">
        <v>0</v>
      </c>
      <c r="U59">
        <v>5</v>
      </c>
      <c r="V59">
        <v>4</v>
      </c>
      <c r="W59" t="s">
        <v>458</v>
      </c>
      <c r="X59" t="s">
        <v>741</v>
      </c>
      <c r="AG59" t="s">
        <v>61</v>
      </c>
    </row>
    <row r="60" spans="1:33" x14ac:dyDescent="0.2">
      <c r="A60">
        <v>231</v>
      </c>
      <c r="B60" t="s">
        <v>486</v>
      </c>
      <c r="C60" t="s">
        <v>409</v>
      </c>
      <c r="D60" t="s">
        <v>736</v>
      </c>
      <c r="G60">
        <v>0</v>
      </c>
      <c r="H60">
        <v>0</v>
      </c>
      <c r="J60">
        <v>4.0768291801214218E-2</v>
      </c>
      <c r="K60">
        <v>8.906136266887188E-3</v>
      </c>
      <c r="L60">
        <v>0</v>
      </c>
      <c r="M60">
        <v>0</v>
      </c>
      <c r="U60">
        <v>4</v>
      </c>
      <c r="V60">
        <v>4</v>
      </c>
      <c r="W60" t="s">
        <v>488</v>
      </c>
      <c r="X60" t="s">
        <v>411</v>
      </c>
      <c r="AG60" t="s">
        <v>61</v>
      </c>
    </row>
    <row r="61" spans="1:33" x14ac:dyDescent="0.2">
      <c r="A61">
        <v>234</v>
      </c>
      <c r="B61" t="s">
        <v>515</v>
      </c>
      <c r="C61" t="s">
        <v>239</v>
      </c>
      <c r="D61" t="s">
        <v>736</v>
      </c>
      <c r="G61">
        <v>0</v>
      </c>
      <c r="H61">
        <v>0</v>
      </c>
      <c r="J61">
        <v>2.1339377854019399E-3</v>
      </c>
      <c r="K61">
        <v>2.3274531122297049E-3</v>
      </c>
      <c r="L61">
        <v>0</v>
      </c>
      <c r="M61">
        <v>0</v>
      </c>
      <c r="U61">
        <v>4</v>
      </c>
      <c r="V61">
        <v>4</v>
      </c>
      <c r="W61" t="s">
        <v>520</v>
      </c>
      <c r="X61" t="s">
        <v>241</v>
      </c>
      <c r="AG61" t="s">
        <v>61</v>
      </c>
    </row>
    <row r="62" spans="1:33" x14ac:dyDescent="0.2">
      <c r="A62">
        <v>241</v>
      </c>
      <c r="B62" t="s">
        <v>591</v>
      </c>
      <c r="C62" t="s">
        <v>342</v>
      </c>
      <c r="D62" t="s">
        <v>736</v>
      </c>
      <c r="G62">
        <v>0</v>
      </c>
      <c r="H62">
        <v>0</v>
      </c>
      <c r="J62">
        <v>1.50322737172246E-2</v>
      </c>
      <c r="K62">
        <v>2.1452700719237331E-2</v>
      </c>
      <c r="L62">
        <v>0</v>
      </c>
      <c r="M62">
        <v>0</v>
      </c>
      <c r="U62">
        <v>4</v>
      </c>
      <c r="V62">
        <v>5</v>
      </c>
      <c r="W62" t="s">
        <v>593</v>
      </c>
      <c r="X62" t="s">
        <v>346</v>
      </c>
      <c r="AG62" t="s">
        <v>61</v>
      </c>
    </row>
    <row r="63" spans="1:33" x14ac:dyDescent="0.2">
      <c r="A63">
        <v>242</v>
      </c>
      <c r="B63" t="s">
        <v>601</v>
      </c>
      <c r="C63" t="s">
        <v>581</v>
      </c>
      <c r="D63" t="s">
        <v>736</v>
      </c>
      <c r="G63">
        <v>0</v>
      </c>
      <c r="H63">
        <v>0</v>
      </c>
      <c r="J63">
        <v>6.4749971032142639E-2</v>
      </c>
      <c r="K63">
        <v>3.0776472762227058E-2</v>
      </c>
      <c r="L63">
        <v>0</v>
      </c>
      <c r="M63">
        <v>0</v>
      </c>
      <c r="U63">
        <v>5</v>
      </c>
      <c r="V63">
        <v>3</v>
      </c>
      <c r="W63" t="s">
        <v>602</v>
      </c>
      <c r="X63" t="s">
        <v>586</v>
      </c>
      <c r="AG63" t="s">
        <v>61</v>
      </c>
    </row>
    <row r="64" spans="1:33" x14ac:dyDescent="0.2">
      <c r="A64">
        <v>246</v>
      </c>
      <c r="B64" t="s">
        <v>642</v>
      </c>
      <c r="C64" t="s">
        <v>50</v>
      </c>
      <c r="D64" t="s">
        <v>736</v>
      </c>
      <c r="G64">
        <v>0</v>
      </c>
      <c r="H64">
        <v>0</v>
      </c>
      <c r="J64">
        <v>9.2198681086301804E-3</v>
      </c>
      <c r="K64">
        <v>2.989999949932098E-2</v>
      </c>
      <c r="L64">
        <v>0</v>
      </c>
      <c r="M64">
        <v>0</v>
      </c>
      <c r="U64">
        <v>5</v>
      </c>
      <c r="V64">
        <v>6</v>
      </c>
      <c r="W64" t="s">
        <v>644</v>
      </c>
      <c r="X64" t="s">
        <v>52</v>
      </c>
      <c r="AG64" t="s">
        <v>61</v>
      </c>
    </row>
    <row r="65" spans="1:33" x14ac:dyDescent="0.2">
      <c r="A65">
        <v>253</v>
      </c>
      <c r="B65" t="s">
        <v>712</v>
      </c>
      <c r="C65" t="s">
        <v>193</v>
      </c>
      <c r="D65" t="s">
        <v>736</v>
      </c>
      <c r="G65">
        <v>0</v>
      </c>
      <c r="H65">
        <v>0</v>
      </c>
      <c r="J65">
        <v>2.325908467173576E-2</v>
      </c>
      <c r="K65">
        <v>1.237591542303562E-2</v>
      </c>
      <c r="L65">
        <v>0</v>
      </c>
      <c r="M65">
        <v>0</v>
      </c>
      <c r="U65">
        <v>6</v>
      </c>
      <c r="V65">
        <v>5</v>
      </c>
      <c r="W65" t="s">
        <v>714</v>
      </c>
      <c r="X65" t="s">
        <v>199</v>
      </c>
      <c r="AG65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5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0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0.14457830786705</v>
      </c>
      <c r="H2">
        <v>6.92139342427254E-2</v>
      </c>
      <c r="I2">
        <v>0.11724138259887699</v>
      </c>
      <c r="J2">
        <v>0.30554860830307001</v>
      </c>
      <c r="K2">
        <v>0.227522492408752</v>
      </c>
      <c r="L2">
        <v>24</v>
      </c>
      <c r="M2">
        <v>10.0360202789307</v>
      </c>
      <c r="N2">
        <v>0.50352758169174205</v>
      </c>
      <c r="O2">
        <v>0.48802921175956698</v>
      </c>
      <c r="P2">
        <v>0.590354144573212</v>
      </c>
      <c r="Q2">
        <v>1</v>
      </c>
      <c r="R2" t="s">
        <v>38</v>
      </c>
      <c r="S2" t="s">
        <v>39</v>
      </c>
      <c r="T2">
        <v>1.48827710965893</v>
      </c>
      <c r="U2">
        <v>6</v>
      </c>
      <c r="V2">
        <v>3</v>
      </c>
      <c r="W2" t="s">
        <v>36</v>
      </c>
      <c r="X2" t="s">
        <v>37</v>
      </c>
      <c r="Y2">
        <v>0.84472524999999998</v>
      </c>
      <c r="Z2">
        <v>0.82852243999999997</v>
      </c>
      <c r="AA2">
        <v>0.83662384999999995</v>
      </c>
      <c r="AB2">
        <v>0.65735549999999998</v>
      </c>
      <c r="AC2">
        <v>0.70452857000000002</v>
      </c>
      <c r="AD2">
        <v>0.68094206000000002</v>
      </c>
      <c r="AG2" t="s">
        <v>40</v>
      </c>
    </row>
    <row r="3" spans="1:33" x14ac:dyDescent="0.2">
      <c r="A3">
        <v>8</v>
      </c>
      <c r="B3" t="s">
        <v>62</v>
      </c>
      <c r="C3" t="s">
        <v>74</v>
      </c>
      <c r="D3" t="s">
        <v>46</v>
      </c>
      <c r="G3">
        <v>1.8604651093482999E-2</v>
      </c>
      <c r="H3">
        <v>0</v>
      </c>
      <c r="J3">
        <v>6.9951079785823794E-2</v>
      </c>
      <c r="K3">
        <v>2.6399999856948901E-2</v>
      </c>
      <c r="L3">
        <v>4</v>
      </c>
      <c r="M3">
        <v>0</v>
      </c>
      <c r="T3">
        <v>1.2776826955843199</v>
      </c>
      <c r="U3">
        <v>6</v>
      </c>
      <c r="V3">
        <v>4</v>
      </c>
      <c r="W3" t="s">
        <v>64</v>
      </c>
      <c r="X3" t="s">
        <v>75</v>
      </c>
      <c r="Y3">
        <v>0.72587246000000005</v>
      </c>
      <c r="Z3">
        <v>0.78657540000000004</v>
      </c>
      <c r="AA3">
        <v>0.75622389999999995</v>
      </c>
      <c r="AB3">
        <v>0.19569644</v>
      </c>
      <c r="AC3">
        <v>0.34192422</v>
      </c>
      <c r="AD3">
        <v>0.26881032999999999</v>
      </c>
      <c r="AE3" t="s">
        <v>72</v>
      </c>
      <c r="AF3" t="s">
        <v>76</v>
      </c>
      <c r="AG3" t="s">
        <v>40</v>
      </c>
    </row>
    <row r="4" spans="1:33" x14ac:dyDescent="0.2">
      <c r="A4">
        <v>10</v>
      </c>
      <c r="B4" t="s">
        <v>77</v>
      </c>
      <c r="C4" t="s">
        <v>83</v>
      </c>
      <c r="D4" t="s">
        <v>42</v>
      </c>
      <c r="E4" t="s">
        <v>84</v>
      </c>
      <c r="F4" t="s">
        <v>85</v>
      </c>
      <c r="G4">
        <v>0</v>
      </c>
      <c r="H4">
        <v>8.3064399659632995E-3</v>
      </c>
      <c r="I4">
        <v>6.0606062412261963E-2</v>
      </c>
      <c r="J4">
        <v>1.0677566751837699E-2</v>
      </c>
      <c r="K4">
        <v>1.52406552806497E-2</v>
      </c>
      <c r="L4">
        <v>0</v>
      </c>
      <c r="M4">
        <v>0.82233750820159901</v>
      </c>
      <c r="N4">
        <v>0.40410903096199002</v>
      </c>
      <c r="O4">
        <v>0.38480496406555198</v>
      </c>
      <c r="P4">
        <v>0.19097368419170399</v>
      </c>
      <c r="Q4">
        <v>0.717670917510986</v>
      </c>
      <c r="R4" t="s">
        <v>86</v>
      </c>
      <c r="S4" t="s">
        <v>87</v>
      </c>
      <c r="T4">
        <v>1.3872506231489801</v>
      </c>
      <c r="U4">
        <v>4</v>
      </c>
      <c r="V4">
        <v>5</v>
      </c>
      <c r="W4" t="s">
        <v>82</v>
      </c>
      <c r="X4" t="s">
        <v>85</v>
      </c>
      <c r="Y4">
        <v>0.76060282999999995</v>
      </c>
      <c r="Z4">
        <v>0.68595092999999996</v>
      </c>
      <c r="AA4">
        <v>0.72327684999999997</v>
      </c>
      <c r="AB4">
        <v>0.30838486999999998</v>
      </c>
      <c r="AC4">
        <v>0.14578894000000001</v>
      </c>
      <c r="AD4">
        <v>0.22708690000000001</v>
      </c>
      <c r="AE4" t="s">
        <v>72</v>
      </c>
      <c r="AF4" t="s">
        <v>76</v>
      </c>
      <c r="AG4" t="s">
        <v>40</v>
      </c>
    </row>
    <row r="5" spans="1:33" x14ac:dyDescent="0.2">
      <c r="A5">
        <v>12</v>
      </c>
      <c r="B5" t="s">
        <v>90</v>
      </c>
      <c r="C5" t="s">
        <v>91</v>
      </c>
      <c r="D5" t="s">
        <v>35</v>
      </c>
      <c r="E5" t="s">
        <v>92</v>
      </c>
      <c r="F5" t="s">
        <v>93</v>
      </c>
      <c r="G5">
        <v>0.15936255455017101</v>
      </c>
      <c r="H5">
        <v>0.123941704630852</v>
      </c>
      <c r="I5">
        <v>0.31999999284744302</v>
      </c>
      <c r="J5">
        <v>0.296873599290848</v>
      </c>
      <c r="K5">
        <v>0.137575298547745</v>
      </c>
      <c r="L5">
        <v>40</v>
      </c>
      <c r="M5">
        <v>15.492713928222701</v>
      </c>
      <c r="N5">
        <v>0.28886657953262301</v>
      </c>
      <c r="O5">
        <v>0.55331361293792702</v>
      </c>
      <c r="P5">
        <v>1</v>
      </c>
      <c r="Q5">
        <v>0.38731783628463701</v>
      </c>
      <c r="R5" t="s">
        <v>39</v>
      </c>
      <c r="S5" t="s">
        <v>94</v>
      </c>
      <c r="T5">
        <v>1.19564090586326</v>
      </c>
      <c r="U5">
        <v>5</v>
      </c>
      <c r="V5">
        <v>4</v>
      </c>
      <c r="W5" t="s">
        <v>92</v>
      </c>
      <c r="X5" t="s">
        <v>95</v>
      </c>
      <c r="Y5">
        <v>0.76177329999999999</v>
      </c>
      <c r="Z5">
        <v>0.78119713000000002</v>
      </c>
      <c r="AA5">
        <v>0.77148519999999998</v>
      </c>
      <c r="AB5">
        <v>0.66365932999999999</v>
      </c>
      <c r="AC5">
        <v>0.14207259999999999</v>
      </c>
      <c r="AD5">
        <v>0.40286598000000001</v>
      </c>
      <c r="AG5" t="s">
        <v>40</v>
      </c>
    </row>
    <row r="6" spans="1:33" x14ac:dyDescent="0.2">
      <c r="A6">
        <v>16</v>
      </c>
      <c r="B6" t="s">
        <v>104</v>
      </c>
      <c r="C6" t="s">
        <v>111</v>
      </c>
      <c r="D6" t="s">
        <v>42</v>
      </c>
      <c r="E6" t="s">
        <v>112</v>
      </c>
      <c r="F6" t="s">
        <v>113</v>
      </c>
      <c r="G6">
        <v>0</v>
      </c>
      <c r="H6">
        <v>1.68563351035118E-2</v>
      </c>
      <c r="I6">
        <v>7.1428574621677399E-2</v>
      </c>
      <c r="J6">
        <v>3.9929583668708801E-2</v>
      </c>
      <c r="K6">
        <v>7.9504586756229401E-2</v>
      </c>
      <c r="L6">
        <v>0</v>
      </c>
      <c r="M6">
        <v>1.6519207954406701</v>
      </c>
      <c r="N6">
        <v>0.33062800765037498</v>
      </c>
      <c r="O6">
        <v>0.43469262123107899</v>
      </c>
      <c r="P6">
        <v>0.23598869144916501</v>
      </c>
      <c r="Q6">
        <v>1</v>
      </c>
      <c r="R6" t="s">
        <v>114</v>
      </c>
      <c r="S6" t="s">
        <v>39</v>
      </c>
      <c r="T6">
        <v>0.92940086971449098</v>
      </c>
      <c r="U6">
        <v>5</v>
      </c>
      <c r="V6">
        <v>5</v>
      </c>
      <c r="W6" t="s">
        <v>106</v>
      </c>
      <c r="X6" t="s">
        <v>113</v>
      </c>
      <c r="Y6">
        <v>0.78289162999999995</v>
      </c>
      <c r="Z6">
        <v>0.72355389999999997</v>
      </c>
      <c r="AA6">
        <v>0.75322275999999999</v>
      </c>
      <c r="AB6">
        <v>0.20434366000000001</v>
      </c>
      <c r="AC6">
        <v>0.20194403999999999</v>
      </c>
      <c r="AD6">
        <v>0.20314384999999999</v>
      </c>
      <c r="AG6" t="s">
        <v>40</v>
      </c>
    </row>
    <row r="7" spans="1:33" x14ac:dyDescent="0.2">
      <c r="A7">
        <v>22</v>
      </c>
      <c r="B7" t="s">
        <v>131</v>
      </c>
      <c r="C7" t="s">
        <v>137</v>
      </c>
      <c r="D7" t="s">
        <v>42</v>
      </c>
      <c r="E7" t="s">
        <v>136</v>
      </c>
      <c r="F7" t="s">
        <v>138</v>
      </c>
      <c r="G7">
        <v>0</v>
      </c>
      <c r="H7">
        <v>4.5197740197181702E-2</v>
      </c>
      <c r="I7">
        <v>0.13559322059154499</v>
      </c>
      <c r="J7">
        <v>5.5737327784299899E-2</v>
      </c>
      <c r="K7">
        <v>0.159133344888687</v>
      </c>
      <c r="L7">
        <v>0</v>
      </c>
      <c r="M7">
        <v>5.3333334922790501</v>
      </c>
      <c r="N7">
        <v>0.21543863415718101</v>
      </c>
      <c r="O7">
        <v>0.46761900186538702</v>
      </c>
      <c r="P7">
        <v>0.33333334326744102</v>
      </c>
      <c r="Q7">
        <v>1</v>
      </c>
      <c r="R7" t="s">
        <v>139</v>
      </c>
      <c r="S7" t="s">
        <v>39</v>
      </c>
      <c r="T7">
        <v>1.01213309378798</v>
      </c>
      <c r="U7">
        <v>5</v>
      </c>
      <c r="V7">
        <v>3</v>
      </c>
      <c r="W7" t="s">
        <v>136</v>
      </c>
      <c r="X7" t="s">
        <v>138</v>
      </c>
      <c r="Y7">
        <v>0.741537</v>
      </c>
      <c r="Z7">
        <v>0.75052779999999997</v>
      </c>
      <c r="AA7">
        <v>0.74603235999999995</v>
      </c>
      <c r="AB7">
        <v>0.22103650999999999</v>
      </c>
      <c r="AC7">
        <v>0.20527372999999999</v>
      </c>
      <c r="AD7">
        <v>0.21315512</v>
      </c>
      <c r="AG7" t="s">
        <v>40</v>
      </c>
    </row>
    <row r="8" spans="1:33" x14ac:dyDescent="0.2">
      <c r="A8">
        <v>26</v>
      </c>
      <c r="B8" t="s">
        <v>142</v>
      </c>
      <c r="C8" t="s">
        <v>153</v>
      </c>
      <c r="D8" t="s">
        <v>46</v>
      </c>
      <c r="G8">
        <v>2.73972600698471E-2</v>
      </c>
      <c r="H8">
        <v>0</v>
      </c>
      <c r="J8">
        <v>0.18073865771293601</v>
      </c>
      <c r="K8">
        <v>3.0933020170778001E-3</v>
      </c>
      <c r="L8">
        <v>6</v>
      </c>
      <c r="M8">
        <v>0</v>
      </c>
      <c r="T8">
        <v>0.65004254544638995</v>
      </c>
      <c r="U8">
        <v>6</v>
      </c>
      <c r="V8">
        <v>6</v>
      </c>
      <c r="W8" t="s">
        <v>148</v>
      </c>
      <c r="X8" t="s">
        <v>154</v>
      </c>
      <c r="Y8">
        <v>0.7646963</v>
      </c>
      <c r="Z8">
        <v>0.6174963</v>
      </c>
      <c r="AA8">
        <v>0.6910963</v>
      </c>
      <c r="AB8">
        <v>0.17728187000000001</v>
      </c>
      <c r="AC8">
        <v>7.7401269999999994E-2</v>
      </c>
      <c r="AD8">
        <v>0.12734156999999999</v>
      </c>
      <c r="AE8" t="s">
        <v>72</v>
      </c>
      <c r="AF8" t="s">
        <v>76</v>
      </c>
      <c r="AG8" t="s">
        <v>40</v>
      </c>
    </row>
    <row r="9" spans="1:33" x14ac:dyDescent="0.2">
      <c r="A9">
        <v>29</v>
      </c>
      <c r="B9" t="s">
        <v>155</v>
      </c>
      <c r="C9" t="s">
        <v>166</v>
      </c>
      <c r="D9" t="s">
        <v>46</v>
      </c>
      <c r="G9">
        <v>3.1914893537759802E-2</v>
      </c>
      <c r="H9">
        <v>0</v>
      </c>
      <c r="J9">
        <v>4.6337060630321503E-2</v>
      </c>
      <c r="K9">
        <v>1.07029639184475E-2</v>
      </c>
      <c r="L9">
        <v>6</v>
      </c>
      <c r="M9">
        <v>0</v>
      </c>
      <c r="T9">
        <v>1.0883581709344099</v>
      </c>
      <c r="U9">
        <v>6</v>
      </c>
      <c r="V9">
        <v>4</v>
      </c>
      <c r="W9" t="s">
        <v>161</v>
      </c>
      <c r="X9" t="s">
        <v>167</v>
      </c>
      <c r="Y9">
        <v>0.78395115999999998</v>
      </c>
      <c r="Z9">
        <v>0.79401772999999998</v>
      </c>
      <c r="AA9">
        <v>0.78898440000000003</v>
      </c>
      <c r="AB9">
        <v>0.14869537999999999</v>
      </c>
      <c r="AC9">
        <v>0.15315132000000001</v>
      </c>
      <c r="AD9">
        <v>0.15092333999999999</v>
      </c>
      <c r="AE9" t="s">
        <v>72</v>
      </c>
      <c r="AF9" t="s">
        <v>76</v>
      </c>
      <c r="AG9" t="s">
        <v>40</v>
      </c>
    </row>
    <row r="10" spans="1:33" x14ac:dyDescent="0.2">
      <c r="A10">
        <v>36</v>
      </c>
      <c r="B10" t="s">
        <v>192</v>
      </c>
      <c r="C10" t="s">
        <v>193</v>
      </c>
      <c r="D10" t="s">
        <v>35</v>
      </c>
      <c r="E10" t="s">
        <v>194</v>
      </c>
      <c r="F10" t="s">
        <v>195</v>
      </c>
      <c r="G10">
        <v>0.21982759237289401</v>
      </c>
      <c r="H10">
        <v>2.0449677482247401E-2</v>
      </c>
      <c r="I10">
        <v>0.18918919563293499</v>
      </c>
      <c r="J10">
        <v>0.276010602712631</v>
      </c>
      <c r="K10">
        <v>3.9602629840374E-2</v>
      </c>
      <c r="L10">
        <v>51</v>
      </c>
      <c r="M10">
        <v>1.5132762193679801</v>
      </c>
      <c r="N10">
        <v>0.37527820467948902</v>
      </c>
      <c r="O10">
        <v>0.41621613502502403</v>
      </c>
      <c r="P10">
        <v>0.32652816176414501</v>
      </c>
      <c r="Q10">
        <v>0.33103165030479398</v>
      </c>
      <c r="R10" t="s">
        <v>196</v>
      </c>
      <c r="S10" t="s">
        <v>197</v>
      </c>
      <c r="T10">
        <v>1.06787546037641</v>
      </c>
      <c r="U10">
        <v>4</v>
      </c>
      <c r="V10">
        <v>5</v>
      </c>
      <c r="W10" t="s">
        <v>198</v>
      </c>
      <c r="X10" t="s">
        <v>199</v>
      </c>
      <c r="Y10">
        <v>0.69735515000000003</v>
      </c>
      <c r="Z10">
        <v>0.74463080000000004</v>
      </c>
      <c r="AA10">
        <v>0.72099299999999999</v>
      </c>
      <c r="AB10">
        <v>0.19988122999999999</v>
      </c>
      <c r="AC10">
        <v>8.8426850000000001E-2</v>
      </c>
      <c r="AD10">
        <v>0.14415404000000001</v>
      </c>
      <c r="AG10" t="s">
        <v>40</v>
      </c>
    </row>
    <row r="11" spans="1:33" x14ac:dyDescent="0.2">
      <c r="A11">
        <v>40</v>
      </c>
      <c r="B11" t="s">
        <v>206</v>
      </c>
      <c r="C11" t="s">
        <v>214</v>
      </c>
      <c r="D11" t="s">
        <v>42</v>
      </c>
      <c r="E11" t="s">
        <v>212</v>
      </c>
      <c r="F11" t="s">
        <v>215</v>
      </c>
      <c r="G11">
        <v>0</v>
      </c>
      <c r="H11">
        <v>2.8726775199174898E-2</v>
      </c>
      <c r="I11">
        <v>5.7142857462167698E-2</v>
      </c>
      <c r="J11">
        <v>6.25597909092903E-2</v>
      </c>
      <c r="K11">
        <v>0.176001772284508</v>
      </c>
      <c r="L11">
        <v>0</v>
      </c>
      <c r="M11">
        <v>2.01087427139282</v>
      </c>
      <c r="N11">
        <v>0.351003527641296</v>
      </c>
      <c r="O11">
        <v>0.27181097865104697</v>
      </c>
      <c r="P11">
        <v>0.50271856784820601</v>
      </c>
      <c r="Q11">
        <v>1</v>
      </c>
      <c r="R11" t="s">
        <v>216</v>
      </c>
      <c r="S11" t="s">
        <v>39</v>
      </c>
      <c r="T11">
        <v>0.66492517011860697</v>
      </c>
      <c r="U11">
        <v>4</v>
      </c>
      <c r="V11">
        <v>3</v>
      </c>
      <c r="W11" t="s">
        <v>212</v>
      </c>
      <c r="X11" t="s">
        <v>215</v>
      </c>
      <c r="Y11">
        <v>0.64058990000000005</v>
      </c>
      <c r="Z11">
        <v>0.61934423000000005</v>
      </c>
      <c r="AA11">
        <v>0.6299671</v>
      </c>
      <c r="AB11">
        <v>0.25464034000000002</v>
      </c>
      <c r="AC11">
        <v>0.27350669999999999</v>
      </c>
      <c r="AD11">
        <v>0.26407352000000001</v>
      </c>
      <c r="AG11" t="s">
        <v>40</v>
      </c>
    </row>
    <row r="12" spans="1:33" x14ac:dyDescent="0.2">
      <c r="A12">
        <v>43</v>
      </c>
      <c r="B12" t="s">
        <v>219</v>
      </c>
      <c r="C12" t="s">
        <v>223</v>
      </c>
      <c r="D12" t="s">
        <v>42</v>
      </c>
      <c r="E12" t="s">
        <v>221</v>
      </c>
      <c r="F12" t="s">
        <v>185</v>
      </c>
      <c r="G12">
        <v>0</v>
      </c>
      <c r="H12">
        <v>3.0501727014779999E-2</v>
      </c>
      <c r="I12">
        <v>5.3191490471363102E-2</v>
      </c>
      <c r="J12">
        <v>4.2221501469612101E-2</v>
      </c>
      <c r="K12">
        <v>0.11571867018938101</v>
      </c>
      <c r="L12">
        <v>0</v>
      </c>
      <c r="M12">
        <v>2.8671622276306201</v>
      </c>
      <c r="N12">
        <v>0.57249653339385997</v>
      </c>
      <c r="O12">
        <v>0.29639384150505099</v>
      </c>
      <c r="P12">
        <v>1</v>
      </c>
      <c r="Q12">
        <v>0.57343244552612305</v>
      </c>
      <c r="R12" t="s">
        <v>39</v>
      </c>
      <c r="S12" t="s">
        <v>224</v>
      </c>
      <c r="T12">
        <v>1.2415755598698599</v>
      </c>
      <c r="U12">
        <v>5</v>
      </c>
      <c r="V12">
        <v>4</v>
      </c>
      <c r="W12" t="s">
        <v>221</v>
      </c>
      <c r="X12" t="s">
        <v>185</v>
      </c>
      <c r="Y12">
        <v>0.76855430000000002</v>
      </c>
      <c r="Z12">
        <v>0.57003219999999999</v>
      </c>
      <c r="AA12">
        <v>0.66929320000000003</v>
      </c>
      <c r="AB12">
        <v>0.2512124</v>
      </c>
      <c r="AC12">
        <v>8.1725149999999996E-2</v>
      </c>
      <c r="AD12">
        <v>0.16646876999999999</v>
      </c>
      <c r="AG12" t="s">
        <v>40</v>
      </c>
    </row>
    <row r="13" spans="1:33" x14ac:dyDescent="0.2">
      <c r="A13">
        <v>48</v>
      </c>
      <c r="B13" t="s">
        <v>238</v>
      </c>
      <c r="C13" t="s">
        <v>239</v>
      </c>
      <c r="D13" t="s">
        <v>35</v>
      </c>
      <c r="E13" t="s">
        <v>240</v>
      </c>
      <c r="F13" t="s">
        <v>241</v>
      </c>
      <c r="G13">
        <v>0.140096619725227</v>
      </c>
      <c r="H13">
        <v>5.4026469588279703E-2</v>
      </c>
      <c r="I13">
        <v>0.15178571641445199</v>
      </c>
      <c r="J13">
        <v>0.37033995985984802</v>
      </c>
      <c r="K13">
        <v>0.17729327082634</v>
      </c>
      <c r="L13">
        <v>29</v>
      </c>
      <c r="M13">
        <v>6.05096435546875</v>
      </c>
      <c r="N13">
        <v>0.35856705904007002</v>
      </c>
      <c r="O13">
        <v>0.41854500770568898</v>
      </c>
      <c r="P13">
        <v>0.5</v>
      </c>
      <c r="Q13">
        <v>0.71187818050384499</v>
      </c>
      <c r="R13" t="s">
        <v>242</v>
      </c>
      <c r="S13" t="s">
        <v>243</v>
      </c>
      <c r="T13">
        <v>1.1944648668859701</v>
      </c>
      <c r="U13">
        <v>5</v>
      </c>
      <c r="V13">
        <v>4</v>
      </c>
      <c r="W13" t="s">
        <v>240</v>
      </c>
      <c r="X13" t="s">
        <v>241</v>
      </c>
      <c r="Y13">
        <v>0.77052580000000004</v>
      </c>
      <c r="Z13">
        <v>0.7357612</v>
      </c>
      <c r="AA13">
        <v>0.75314354999999999</v>
      </c>
      <c r="AB13">
        <v>0.5171616</v>
      </c>
      <c r="AC13">
        <v>0.16517747999999999</v>
      </c>
      <c r="AD13">
        <v>0.34116953999999999</v>
      </c>
      <c r="AG13" t="s">
        <v>40</v>
      </c>
    </row>
    <row r="14" spans="1:33" x14ac:dyDescent="0.2">
      <c r="A14">
        <v>55</v>
      </c>
      <c r="B14" t="s">
        <v>264</v>
      </c>
      <c r="C14" t="s">
        <v>269</v>
      </c>
      <c r="D14" t="s">
        <v>42</v>
      </c>
      <c r="E14" t="s">
        <v>266</v>
      </c>
      <c r="F14" t="s">
        <v>270</v>
      </c>
      <c r="G14">
        <v>0</v>
      </c>
      <c r="H14">
        <v>1.8559474498033499E-2</v>
      </c>
      <c r="I14">
        <v>4.7058824449777603E-2</v>
      </c>
      <c r="J14">
        <v>3.4276332706212997E-2</v>
      </c>
      <c r="K14">
        <v>3.5534434020519298E-2</v>
      </c>
      <c r="L14">
        <v>0</v>
      </c>
      <c r="M14">
        <v>1.5775552988052399</v>
      </c>
      <c r="N14">
        <v>0.49936079978942899</v>
      </c>
      <c r="O14">
        <v>0.234289035201073</v>
      </c>
      <c r="P14">
        <v>0.39438882470130898</v>
      </c>
      <c r="Q14">
        <v>1</v>
      </c>
      <c r="R14" t="s">
        <v>268</v>
      </c>
      <c r="S14" t="s">
        <v>39</v>
      </c>
      <c r="T14">
        <v>1.01383447626089</v>
      </c>
      <c r="U14">
        <v>6</v>
      </c>
      <c r="V14">
        <v>6</v>
      </c>
      <c r="W14" t="s">
        <v>266</v>
      </c>
      <c r="X14" t="s">
        <v>270</v>
      </c>
      <c r="Y14">
        <v>0.80333600000000005</v>
      </c>
      <c r="Z14">
        <v>0.69399195999999996</v>
      </c>
      <c r="AA14">
        <v>0.748664</v>
      </c>
      <c r="AB14">
        <v>0.56588229999999995</v>
      </c>
      <c r="AC14">
        <v>8.3011450000000001E-2</v>
      </c>
      <c r="AD14">
        <v>0.32444689999999998</v>
      </c>
      <c r="AG14" t="s">
        <v>40</v>
      </c>
    </row>
    <row r="15" spans="1:33" x14ac:dyDescent="0.2">
      <c r="A15">
        <v>58</v>
      </c>
      <c r="B15" t="s">
        <v>273</v>
      </c>
      <c r="C15" t="s">
        <v>281</v>
      </c>
      <c r="D15" t="s">
        <v>42</v>
      </c>
      <c r="E15" t="s">
        <v>279</v>
      </c>
      <c r="F15" t="s">
        <v>282</v>
      </c>
      <c r="G15">
        <v>0</v>
      </c>
      <c r="H15">
        <v>5.7088773697614698E-2</v>
      </c>
      <c r="I15">
        <v>0.138888895511627</v>
      </c>
      <c r="J15">
        <v>3.7870090454816797E-2</v>
      </c>
      <c r="K15">
        <v>5.5202554911374997E-2</v>
      </c>
      <c r="L15">
        <v>0</v>
      </c>
      <c r="M15">
        <v>6.1655869483947798</v>
      </c>
      <c r="N15">
        <v>0.25807538628578203</v>
      </c>
      <c r="O15">
        <v>0.40373095870018</v>
      </c>
      <c r="P15">
        <v>0.41103914380073597</v>
      </c>
      <c r="Q15">
        <v>1</v>
      </c>
      <c r="R15" t="s">
        <v>283</v>
      </c>
      <c r="S15" t="s">
        <v>39</v>
      </c>
      <c r="T15">
        <v>1.3430066618385399</v>
      </c>
      <c r="U15">
        <v>6</v>
      </c>
      <c r="V15">
        <v>5</v>
      </c>
      <c r="W15" t="s">
        <v>279</v>
      </c>
      <c r="X15" t="s">
        <v>282</v>
      </c>
      <c r="Y15">
        <v>0.70937240000000001</v>
      </c>
      <c r="Z15">
        <v>0.75840205000000005</v>
      </c>
      <c r="AA15">
        <v>0.73388719999999996</v>
      </c>
      <c r="AB15">
        <v>0.14263940999999999</v>
      </c>
      <c r="AC15">
        <v>0.69550690000000004</v>
      </c>
      <c r="AD15">
        <v>0.41907313000000002</v>
      </c>
      <c r="AG15" t="s">
        <v>40</v>
      </c>
    </row>
    <row r="16" spans="1:33" x14ac:dyDescent="0.2">
      <c r="A16">
        <v>60</v>
      </c>
      <c r="B16" t="s">
        <v>286</v>
      </c>
      <c r="C16" t="s">
        <v>287</v>
      </c>
      <c r="D16" t="s">
        <v>35</v>
      </c>
      <c r="E16" t="s">
        <v>288</v>
      </c>
      <c r="F16" t="s">
        <v>289</v>
      </c>
      <c r="G16">
        <v>6.8702287971973405E-2</v>
      </c>
      <c r="H16">
        <v>1.4694567769765901E-2</v>
      </c>
      <c r="I16">
        <v>3.5714287310838699E-2</v>
      </c>
      <c r="J16">
        <v>0.16370761394500699</v>
      </c>
      <c r="K16">
        <v>9.0395100414753002E-2</v>
      </c>
      <c r="L16">
        <v>9</v>
      </c>
      <c r="M16">
        <v>1.2343436479568499</v>
      </c>
      <c r="N16">
        <v>0.49423271417617798</v>
      </c>
      <c r="O16">
        <v>0.48805573582649198</v>
      </c>
      <c r="P16">
        <v>0.41144788265228299</v>
      </c>
      <c r="Q16">
        <v>1</v>
      </c>
      <c r="R16" t="s">
        <v>290</v>
      </c>
      <c r="S16" t="s">
        <v>39</v>
      </c>
      <c r="T16">
        <v>0.48895424536193499</v>
      </c>
      <c r="U16">
        <v>4</v>
      </c>
      <c r="V16">
        <v>5</v>
      </c>
      <c r="W16" t="s">
        <v>288</v>
      </c>
      <c r="X16" t="s">
        <v>289</v>
      </c>
      <c r="Y16">
        <v>0.76560589999999995</v>
      </c>
      <c r="Z16">
        <v>0.79557394999999997</v>
      </c>
      <c r="AA16">
        <v>0.78058994000000004</v>
      </c>
      <c r="AB16">
        <v>0.11914565000000001</v>
      </c>
      <c r="AC16">
        <v>0.69042592999999997</v>
      </c>
      <c r="AD16">
        <v>0.40478577999999998</v>
      </c>
      <c r="AG16" t="s">
        <v>40</v>
      </c>
    </row>
    <row r="17" spans="1:33" x14ac:dyDescent="0.2">
      <c r="A17">
        <v>66</v>
      </c>
      <c r="B17" t="s">
        <v>309</v>
      </c>
      <c r="C17" t="s">
        <v>310</v>
      </c>
      <c r="D17" t="s">
        <v>35</v>
      </c>
      <c r="E17" t="s">
        <v>311</v>
      </c>
      <c r="F17" t="s">
        <v>312</v>
      </c>
      <c r="G17">
        <v>0.12138728052377699</v>
      </c>
      <c r="H17">
        <v>3.15205901861191E-2</v>
      </c>
      <c r="I17">
        <v>8.0645158886909499E-2</v>
      </c>
      <c r="J17">
        <v>0.24862721562385601</v>
      </c>
      <c r="K17">
        <v>0.16289006173610701</v>
      </c>
      <c r="L17">
        <v>21</v>
      </c>
      <c r="M17">
        <v>3.9085531234741202</v>
      </c>
      <c r="N17">
        <v>0.576898813247681</v>
      </c>
      <c r="O17">
        <v>0.55171495676040705</v>
      </c>
      <c r="P17">
        <v>1</v>
      </c>
      <c r="Q17">
        <v>0.390855312347412</v>
      </c>
      <c r="R17" t="s">
        <v>39</v>
      </c>
      <c r="S17" t="s">
        <v>313</v>
      </c>
      <c r="T17">
        <v>0.99439163252170604</v>
      </c>
      <c r="U17">
        <v>5</v>
      </c>
      <c r="V17">
        <v>5</v>
      </c>
      <c r="W17" t="s">
        <v>311</v>
      </c>
      <c r="X17" t="s">
        <v>314</v>
      </c>
      <c r="Y17">
        <v>0.65544170000000002</v>
      </c>
      <c r="Z17">
        <v>0.72370429999999997</v>
      </c>
      <c r="AA17">
        <v>0.68957299999999999</v>
      </c>
      <c r="AB17">
        <v>0.31645395999999998</v>
      </c>
      <c r="AC17">
        <v>0.16811857999999999</v>
      </c>
      <c r="AD17">
        <v>0.24228626</v>
      </c>
      <c r="AG17" t="s">
        <v>40</v>
      </c>
    </row>
    <row r="18" spans="1:33" x14ac:dyDescent="0.2">
      <c r="A18">
        <v>73</v>
      </c>
      <c r="B18" t="s">
        <v>329</v>
      </c>
      <c r="C18" t="s">
        <v>326</v>
      </c>
      <c r="D18" t="s">
        <v>42</v>
      </c>
      <c r="E18" t="s">
        <v>337</v>
      </c>
      <c r="F18" t="s">
        <v>327</v>
      </c>
      <c r="G18">
        <v>0</v>
      </c>
      <c r="H18">
        <v>7.7378391288219998E-3</v>
      </c>
      <c r="I18">
        <v>0.2080000042915344</v>
      </c>
      <c r="J18">
        <v>3.7998650223016697E-2</v>
      </c>
      <c r="K18">
        <v>2.4309882894158402E-2</v>
      </c>
      <c r="L18">
        <v>0</v>
      </c>
      <c r="M18">
        <v>0.96722984313964799</v>
      </c>
      <c r="N18">
        <v>0.279056787490845</v>
      </c>
      <c r="O18">
        <v>0.45226556062698398</v>
      </c>
      <c r="P18">
        <v>8.6429305374622303E-2</v>
      </c>
      <c r="Q18">
        <v>0.43042287230491599</v>
      </c>
      <c r="R18" t="s">
        <v>338</v>
      </c>
      <c r="S18" t="s">
        <v>328</v>
      </c>
      <c r="T18">
        <v>0.714663327063217</v>
      </c>
      <c r="U18">
        <v>5</v>
      </c>
      <c r="V18">
        <v>6</v>
      </c>
      <c r="W18" t="s">
        <v>335</v>
      </c>
      <c r="X18" t="s">
        <v>327</v>
      </c>
      <c r="Y18">
        <v>0.57454590000000005</v>
      </c>
      <c r="Z18">
        <v>0.72683734</v>
      </c>
      <c r="AA18">
        <v>0.65069160000000004</v>
      </c>
      <c r="AB18">
        <v>9.7756410000000002E-2</v>
      </c>
      <c r="AC18">
        <v>0.21142601999999999</v>
      </c>
      <c r="AD18">
        <v>0.15459122</v>
      </c>
      <c r="AE18" t="s">
        <v>72</v>
      </c>
      <c r="AF18" t="s">
        <v>76</v>
      </c>
      <c r="AG18" t="s">
        <v>40</v>
      </c>
    </row>
    <row r="19" spans="1:33" x14ac:dyDescent="0.2">
      <c r="A19">
        <v>77</v>
      </c>
      <c r="B19" t="s">
        <v>341</v>
      </c>
      <c r="C19" t="s">
        <v>349</v>
      </c>
      <c r="D19" t="s">
        <v>46</v>
      </c>
      <c r="G19">
        <v>4.0540542453527499E-2</v>
      </c>
      <c r="H19">
        <v>0</v>
      </c>
      <c r="J19">
        <v>0.105507336556911</v>
      </c>
      <c r="K19">
        <v>1.1400000192225E-2</v>
      </c>
      <c r="L19">
        <v>9</v>
      </c>
      <c r="M19">
        <v>0</v>
      </c>
      <c r="T19">
        <v>0.61238746621463402</v>
      </c>
      <c r="U19">
        <v>4</v>
      </c>
      <c r="V19">
        <v>4</v>
      </c>
      <c r="W19" t="s">
        <v>343</v>
      </c>
      <c r="X19" t="s">
        <v>350</v>
      </c>
      <c r="Y19">
        <v>0.66934320000000003</v>
      </c>
      <c r="Z19">
        <v>0.71208090000000002</v>
      </c>
      <c r="AA19">
        <v>0.69071203000000003</v>
      </c>
      <c r="AB19">
        <v>5.5568571999999997E-2</v>
      </c>
      <c r="AC19">
        <v>5.5285897000000002E-3</v>
      </c>
      <c r="AD19">
        <v>3.0548579999999999E-2</v>
      </c>
      <c r="AG19" t="s">
        <v>40</v>
      </c>
    </row>
    <row r="20" spans="1:33" x14ac:dyDescent="0.2">
      <c r="A20">
        <v>80</v>
      </c>
      <c r="B20" t="s">
        <v>351</v>
      </c>
      <c r="C20" t="s">
        <v>360</v>
      </c>
      <c r="D20" t="s">
        <v>46</v>
      </c>
      <c r="G20">
        <v>8.8541671633720398E-2</v>
      </c>
      <c r="H20">
        <v>0</v>
      </c>
      <c r="J20">
        <v>0.237132057547569</v>
      </c>
      <c r="K20">
        <v>1.0809711180627299E-2</v>
      </c>
      <c r="L20">
        <v>17</v>
      </c>
      <c r="M20">
        <v>0</v>
      </c>
      <c r="T20">
        <v>1.35712749587405</v>
      </c>
      <c r="U20">
        <v>5</v>
      </c>
      <c r="V20">
        <v>3</v>
      </c>
      <c r="W20" t="s">
        <v>353</v>
      </c>
      <c r="X20" t="s">
        <v>361</v>
      </c>
      <c r="Y20">
        <v>0.69349769999999999</v>
      </c>
      <c r="Z20">
        <v>0.60379579999999999</v>
      </c>
      <c r="AA20">
        <v>0.64864679999999997</v>
      </c>
      <c r="AB20">
        <v>0.31497199999999997</v>
      </c>
      <c r="AC20">
        <v>1.3125149500000001E-2</v>
      </c>
      <c r="AD20">
        <v>0.16404858</v>
      </c>
      <c r="AG20" t="s">
        <v>40</v>
      </c>
    </row>
    <row r="21" spans="1:33" x14ac:dyDescent="0.2">
      <c r="A21">
        <v>83</v>
      </c>
      <c r="B21" t="s">
        <v>362</v>
      </c>
      <c r="C21" t="s">
        <v>369</v>
      </c>
      <c r="D21" t="s">
        <v>46</v>
      </c>
      <c r="G21">
        <v>2.43902485817671E-2</v>
      </c>
      <c r="H21">
        <v>0</v>
      </c>
      <c r="J21">
        <v>0.12647631764411901</v>
      </c>
      <c r="K21">
        <v>3.7899207323789597E-2</v>
      </c>
      <c r="L21">
        <v>5</v>
      </c>
      <c r="M21">
        <v>0</v>
      </c>
      <c r="T21">
        <v>0.59486391242989001</v>
      </c>
      <c r="U21">
        <v>6</v>
      </c>
      <c r="V21">
        <v>6</v>
      </c>
      <c r="W21" t="s">
        <v>368</v>
      </c>
      <c r="X21" t="s">
        <v>370</v>
      </c>
      <c r="Y21">
        <v>0.78467120000000001</v>
      </c>
      <c r="Z21">
        <v>0.78461634999999996</v>
      </c>
      <c r="AA21">
        <v>0.78464376999999996</v>
      </c>
      <c r="AB21">
        <v>0.70466112999999997</v>
      </c>
      <c r="AC21">
        <v>0.40966824000000002</v>
      </c>
      <c r="AD21">
        <v>0.55716467000000003</v>
      </c>
      <c r="AG21" t="s">
        <v>40</v>
      </c>
    </row>
    <row r="22" spans="1:33" x14ac:dyDescent="0.2">
      <c r="A22">
        <v>84</v>
      </c>
      <c r="B22" t="s">
        <v>371</v>
      </c>
      <c r="C22" t="s">
        <v>372</v>
      </c>
      <c r="D22" t="s">
        <v>35</v>
      </c>
      <c r="E22" t="s">
        <v>373</v>
      </c>
      <c r="F22" t="s">
        <v>374</v>
      </c>
      <c r="G22">
        <v>0.30088493227958701</v>
      </c>
      <c r="H22">
        <v>0.17592592537403101</v>
      </c>
      <c r="I22">
        <v>0.17592592537403101</v>
      </c>
      <c r="J22">
        <v>0.39889648556709301</v>
      </c>
      <c r="K22">
        <v>0.75180000066757202</v>
      </c>
      <c r="L22">
        <v>68</v>
      </c>
      <c r="M22">
        <v>19</v>
      </c>
      <c r="N22">
        <v>0.26565241813659701</v>
      </c>
      <c r="O22">
        <v>0.57277429103851296</v>
      </c>
      <c r="P22">
        <v>1</v>
      </c>
      <c r="Q22">
        <v>1</v>
      </c>
      <c r="R22" t="s">
        <v>39</v>
      </c>
      <c r="S22" t="s">
        <v>39</v>
      </c>
      <c r="T22">
        <v>0.363948941699475</v>
      </c>
      <c r="U22">
        <v>6</v>
      </c>
      <c r="V22">
        <v>6</v>
      </c>
      <c r="W22" t="s">
        <v>373</v>
      </c>
      <c r="X22" t="s">
        <v>374</v>
      </c>
      <c r="Y22">
        <v>0.58154669999999997</v>
      </c>
      <c r="Z22">
        <v>0.73934619999999995</v>
      </c>
      <c r="AA22">
        <v>0.66044647000000001</v>
      </c>
      <c r="AB22">
        <v>0.73034673999999999</v>
      </c>
      <c r="AC22">
        <v>0.55189390000000005</v>
      </c>
      <c r="AD22">
        <v>0.64112029999999998</v>
      </c>
      <c r="AG22" t="s">
        <v>40</v>
      </c>
    </row>
    <row r="23" spans="1:33" x14ac:dyDescent="0.2">
      <c r="A23">
        <v>89</v>
      </c>
      <c r="B23" t="s">
        <v>377</v>
      </c>
      <c r="C23" t="s">
        <v>383</v>
      </c>
      <c r="D23" t="s">
        <v>46</v>
      </c>
      <c r="G23">
        <v>2.3622054606676102E-2</v>
      </c>
      <c r="H23">
        <v>0</v>
      </c>
      <c r="J23">
        <v>0.27855911850929299</v>
      </c>
      <c r="K23">
        <v>3.9799999445676797E-2</v>
      </c>
      <c r="L23">
        <v>3</v>
      </c>
      <c r="M23">
        <v>0</v>
      </c>
      <c r="T23">
        <v>0.975752464232582</v>
      </c>
      <c r="U23">
        <v>6</v>
      </c>
      <c r="V23">
        <v>5</v>
      </c>
      <c r="W23" t="s">
        <v>379</v>
      </c>
      <c r="X23" t="s">
        <v>384</v>
      </c>
      <c r="Y23">
        <v>0.66683820000000005</v>
      </c>
      <c r="Z23">
        <v>0.78923094000000005</v>
      </c>
      <c r="AA23">
        <v>0.72803459999999998</v>
      </c>
      <c r="AB23">
        <v>0.23870078</v>
      </c>
      <c r="AC23">
        <v>0.15093202999999999</v>
      </c>
      <c r="AD23">
        <v>0.19481641</v>
      </c>
      <c r="AG23" t="s">
        <v>40</v>
      </c>
    </row>
    <row r="24" spans="1:33" x14ac:dyDescent="0.2">
      <c r="A24">
        <v>95</v>
      </c>
      <c r="B24" t="s">
        <v>394</v>
      </c>
      <c r="C24" t="s">
        <v>406</v>
      </c>
      <c r="D24" t="s">
        <v>46</v>
      </c>
      <c r="G24">
        <v>0.112745091319084</v>
      </c>
      <c r="H24">
        <v>0</v>
      </c>
      <c r="J24">
        <v>0.21270182728767401</v>
      </c>
      <c r="K24">
        <v>1.8467066809534999E-2</v>
      </c>
      <c r="L24">
        <v>23</v>
      </c>
      <c r="M24">
        <v>0</v>
      </c>
      <c r="T24">
        <v>1.33352818587239</v>
      </c>
      <c r="U24">
        <v>5</v>
      </c>
      <c r="V24">
        <v>5</v>
      </c>
      <c r="W24" t="s">
        <v>396</v>
      </c>
      <c r="X24" t="s">
        <v>407</v>
      </c>
      <c r="Y24">
        <v>0.70576220000000001</v>
      </c>
      <c r="Z24">
        <v>0.52579759999999998</v>
      </c>
      <c r="AA24">
        <v>0.61577990000000005</v>
      </c>
      <c r="AB24">
        <v>0.39005485000000001</v>
      </c>
      <c r="AC24">
        <v>1.3533704000000001E-2</v>
      </c>
      <c r="AD24">
        <v>0.20179427999999999</v>
      </c>
      <c r="AG24" t="s">
        <v>40</v>
      </c>
    </row>
    <row r="25" spans="1:33" x14ac:dyDescent="0.2">
      <c r="A25">
        <v>98</v>
      </c>
      <c r="B25" t="s">
        <v>408</v>
      </c>
      <c r="C25" t="s">
        <v>416</v>
      </c>
      <c r="D25" t="s">
        <v>46</v>
      </c>
      <c r="G25">
        <v>7.8125E-2</v>
      </c>
      <c r="H25">
        <v>0</v>
      </c>
      <c r="J25">
        <v>0.193741470575333</v>
      </c>
      <c r="K25">
        <v>3.9850000292062801E-2</v>
      </c>
      <c r="L25">
        <v>15</v>
      </c>
      <c r="M25">
        <v>0</v>
      </c>
      <c r="T25">
        <v>0.97312861635058701</v>
      </c>
      <c r="U25">
        <v>4</v>
      </c>
      <c r="V25">
        <v>6</v>
      </c>
      <c r="W25" t="s">
        <v>410</v>
      </c>
      <c r="X25" t="s">
        <v>417</v>
      </c>
      <c r="Y25">
        <v>0.73596709999999999</v>
      </c>
      <c r="Z25">
        <v>0.85859229999999997</v>
      </c>
      <c r="AA25">
        <v>0.79727970000000004</v>
      </c>
      <c r="AB25">
        <v>0.12801418000000001</v>
      </c>
      <c r="AC25">
        <v>0.29654049999999998</v>
      </c>
      <c r="AD25">
        <v>0.21227734000000001</v>
      </c>
      <c r="AG25" t="s">
        <v>40</v>
      </c>
    </row>
    <row r="26" spans="1:33" x14ac:dyDescent="0.2">
      <c r="A26">
        <v>100</v>
      </c>
      <c r="B26" t="s">
        <v>418</v>
      </c>
      <c r="C26" t="s">
        <v>425</v>
      </c>
      <c r="D26" t="s">
        <v>42</v>
      </c>
      <c r="E26" t="s">
        <v>426</v>
      </c>
      <c r="F26" t="s">
        <v>427</v>
      </c>
      <c r="G26">
        <v>0</v>
      </c>
      <c r="H26">
        <v>1.8946699798107099E-2</v>
      </c>
      <c r="I26">
        <v>7.0175439119339003E-2</v>
      </c>
      <c r="J26">
        <v>5.5254802107811002E-2</v>
      </c>
      <c r="K26">
        <v>0.221020847558975</v>
      </c>
      <c r="L26">
        <v>0</v>
      </c>
      <c r="M26">
        <v>2.15992379188538</v>
      </c>
      <c r="N26">
        <v>0.30402055382728599</v>
      </c>
      <c r="O26">
        <v>0.259058058261871</v>
      </c>
      <c r="P26">
        <v>0.269990473985672</v>
      </c>
      <c r="Q26">
        <v>1</v>
      </c>
      <c r="R26" t="s">
        <v>428</v>
      </c>
      <c r="S26" t="s">
        <v>39</v>
      </c>
      <c r="T26">
        <v>1.4317006762039299</v>
      </c>
      <c r="U26">
        <v>6</v>
      </c>
      <c r="V26">
        <v>6</v>
      </c>
      <c r="W26" t="s">
        <v>420</v>
      </c>
      <c r="X26" t="s">
        <v>427</v>
      </c>
      <c r="Y26">
        <v>0.70480790000000004</v>
      </c>
      <c r="Z26">
        <v>0.57752943000000001</v>
      </c>
      <c r="AA26">
        <v>0.64116865000000001</v>
      </c>
      <c r="AB26">
        <v>0.5883543</v>
      </c>
      <c r="AC26">
        <v>0.19068871000000001</v>
      </c>
      <c r="AD26">
        <v>0.38952150000000002</v>
      </c>
      <c r="AG26" t="s">
        <v>40</v>
      </c>
    </row>
    <row r="27" spans="1:33" x14ac:dyDescent="0.2">
      <c r="A27">
        <v>102</v>
      </c>
      <c r="B27" t="s">
        <v>431</v>
      </c>
      <c r="C27" t="s">
        <v>432</v>
      </c>
      <c r="D27" t="s">
        <v>35</v>
      </c>
      <c r="E27" t="s">
        <v>433</v>
      </c>
      <c r="F27" t="s">
        <v>434</v>
      </c>
      <c r="G27">
        <v>0.160621717572212</v>
      </c>
      <c r="H27">
        <v>1.1161186732351801E-2</v>
      </c>
      <c r="I27">
        <v>2.5423727929592101E-2</v>
      </c>
      <c r="J27">
        <v>0.39114725589752197</v>
      </c>
      <c r="K27">
        <v>0.17288082838058499</v>
      </c>
      <c r="L27">
        <v>31</v>
      </c>
      <c r="M27">
        <v>1.3170200586319001</v>
      </c>
      <c r="N27">
        <v>0.44711792469024703</v>
      </c>
      <c r="O27">
        <v>0.28073722124099698</v>
      </c>
      <c r="P27">
        <v>1</v>
      </c>
      <c r="Q27">
        <v>0.43900668621063199</v>
      </c>
      <c r="R27" t="s">
        <v>39</v>
      </c>
      <c r="S27" t="s">
        <v>435</v>
      </c>
      <c r="T27">
        <v>1.0793620048741199</v>
      </c>
      <c r="U27">
        <v>6</v>
      </c>
      <c r="V27">
        <v>4</v>
      </c>
      <c r="W27" t="s">
        <v>433</v>
      </c>
      <c r="X27" t="s">
        <v>434</v>
      </c>
      <c r="Y27">
        <v>0.73797250000000003</v>
      </c>
      <c r="Z27">
        <v>0.75857437000000005</v>
      </c>
      <c r="AA27">
        <v>0.74827343000000002</v>
      </c>
      <c r="AB27">
        <v>0.41177427999999999</v>
      </c>
      <c r="AC27">
        <v>0.42855527999999998</v>
      </c>
      <c r="AD27">
        <v>0.42016476000000003</v>
      </c>
      <c r="AG27" t="s">
        <v>40</v>
      </c>
    </row>
    <row r="28" spans="1:33" x14ac:dyDescent="0.2">
      <c r="A28">
        <v>105</v>
      </c>
      <c r="B28" t="s">
        <v>442</v>
      </c>
      <c r="C28" t="s">
        <v>443</v>
      </c>
      <c r="D28" t="s">
        <v>35</v>
      </c>
      <c r="E28" t="s">
        <v>444</v>
      </c>
      <c r="F28" t="s">
        <v>445</v>
      </c>
      <c r="G28">
        <v>5.0632908940315302E-2</v>
      </c>
      <c r="H28">
        <v>1.00753363221884E-2</v>
      </c>
      <c r="I28">
        <v>5.0505049526691437E-2</v>
      </c>
      <c r="J28">
        <v>9.2704594135284396E-2</v>
      </c>
      <c r="K28">
        <v>6.5570920705795302E-2</v>
      </c>
      <c r="L28">
        <v>8</v>
      </c>
      <c r="M28">
        <v>0.99745833873748802</v>
      </c>
      <c r="N28">
        <v>0.24545381963252999</v>
      </c>
      <c r="O28">
        <v>0.45928931236267101</v>
      </c>
      <c r="P28">
        <v>0.5</v>
      </c>
      <c r="Q28">
        <v>0.39898332953453097</v>
      </c>
      <c r="R28" t="s">
        <v>446</v>
      </c>
      <c r="S28" t="s">
        <v>447</v>
      </c>
      <c r="T28">
        <v>1.3466430079752301</v>
      </c>
      <c r="U28">
        <v>4</v>
      </c>
      <c r="V28">
        <v>6</v>
      </c>
      <c r="W28" t="s">
        <v>448</v>
      </c>
      <c r="X28" t="s">
        <v>449</v>
      </c>
      <c r="Y28">
        <v>0.76610480000000003</v>
      </c>
      <c r="Z28">
        <v>0.72047174000000003</v>
      </c>
      <c r="AA28">
        <v>0.74328830000000001</v>
      </c>
      <c r="AB28">
        <v>0.29184504999999999</v>
      </c>
      <c r="AC28">
        <v>0.36632787999999999</v>
      </c>
      <c r="AD28">
        <v>0.32908648000000001</v>
      </c>
      <c r="AE28" t="s">
        <v>72</v>
      </c>
      <c r="AF28" t="s">
        <v>76</v>
      </c>
      <c r="AG28" t="s">
        <v>40</v>
      </c>
    </row>
    <row r="29" spans="1:33" x14ac:dyDescent="0.2">
      <c r="A29">
        <v>108</v>
      </c>
      <c r="B29" t="s">
        <v>456</v>
      </c>
      <c r="C29" t="s">
        <v>457</v>
      </c>
      <c r="D29" t="s">
        <v>35</v>
      </c>
      <c r="E29" t="s">
        <v>458</v>
      </c>
      <c r="F29" t="s">
        <v>459</v>
      </c>
      <c r="G29">
        <v>6.1452519148588201E-2</v>
      </c>
      <c r="H29">
        <v>5.4646797478198998E-2</v>
      </c>
      <c r="I29">
        <v>0.10810811072588</v>
      </c>
      <c r="J29">
        <v>0.24686054885387401</v>
      </c>
      <c r="K29">
        <v>0.17302678525447801</v>
      </c>
      <c r="L29">
        <v>11</v>
      </c>
      <c r="M29">
        <v>6.0657939910888699</v>
      </c>
      <c r="N29">
        <v>0.44188019633293202</v>
      </c>
      <c r="O29">
        <v>0.52527201175689697</v>
      </c>
      <c r="P29">
        <v>1</v>
      </c>
      <c r="Q29">
        <v>0.50548285245895397</v>
      </c>
      <c r="R29" t="s">
        <v>39</v>
      </c>
      <c r="S29" t="s">
        <v>460</v>
      </c>
      <c r="T29">
        <v>1.4720717228106099</v>
      </c>
      <c r="U29">
        <v>5</v>
      </c>
      <c r="V29">
        <v>3</v>
      </c>
      <c r="W29" t="s">
        <v>458</v>
      </c>
      <c r="X29" t="s">
        <v>459</v>
      </c>
      <c r="Y29">
        <v>0.76699733999999997</v>
      </c>
      <c r="Z29">
        <v>0.78748375000000004</v>
      </c>
      <c r="AA29">
        <v>0.7772405</v>
      </c>
      <c r="AB29">
        <v>0.21407603</v>
      </c>
      <c r="AC29">
        <v>0.52629459999999995</v>
      </c>
      <c r="AD29">
        <v>0.37018531999999998</v>
      </c>
      <c r="AG29" t="s">
        <v>40</v>
      </c>
    </row>
    <row r="30" spans="1:33" x14ac:dyDescent="0.2">
      <c r="A30">
        <v>113</v>
      </c>
      <c r="B30" t="s">
        <v>465</v>
      </c>
      <c r="C30" t="s">
        <v>471</v>
      </c>
      <c r="D30" t="s">
        <v>46</v>
      </c>
      <c r="G30">
        <v>7.3059365153312697E-2</v>
      </c>
      <c r="H30">
        <v>0</v>
      </c>
      <c r="J30">
        <v>0.217957317829132</v>
      </c>
      <c r="K30">
        <v>1.81804541498423E-2</v>
      </c>
      <c r="L30">
        <v>16</v>
      </c>
      <c r="M30">
        <v>0</v>
      </c>
      <c r="T30">
        <v>1.3176027955431699</v>
      </c>
      <c r="U30">
        <v>5</v>
      </c>
      <c r="V30">
        <v>5</v>
      </c>
      <c r="W30" t="s">
        <v>466</v>
      </c>
      <c r="X30" t="s">
        <v>472</v>
      </c>
      <c r="Y30">
        <v>0.76994180000000001</v>
      </c>
      <c r="Z30">
        <v>0.72487866999999995</v>
      </c>
      <c r="AA30">
        <v>0.74741024</v>
      </c>
      <c r="AB30">
        <v>0.57118124000000003</v>
      </c>
      <c r="AC30">
        <v>0.10333663999999999</v>
      </c>
      <c r="AD30">
        <v>0.33725893000000001</v>
      </c>
      <c r="AG30" t="s">
        <v>40</v>
      </c>
    </row>
    <row r="31" spans="1:33" x14ac:dyDescent="0.2">
      <c r="A31">
        <v>116</v>
      </c>
      <c r="B31" t="s">
        <v>473</v>
      </c>
      <c r="C31" t="s">
        <v>484</v>
      </c>
      <c r="D31" t="s">
        <v>46</v>
      </c>
      <c r="G31">
        <v>1.3452910818159599E-2</v>
      </c>
      <c r="H31">
        <v>0</v>
      </c>
      <c r="J31">
        <v>0.19119212031364399</v>
      </c>
      <c r="K31">
        <v>1.0716020129620999E-2</v>
      </c>
      <c r="L31">
        <v>3</v>
      </c>
      <c r="M31">
        <v>0</v>
      </c>
      <c r="T31">
        <v>0.58738095390869705</v>
      </c>
      <c r="U31">
        <v>5</v>
      </c>
      <c r="V31">
        <v>4</v>
      </c>
      <c r="W31" t="s">
        <v>475</v>
      </c>
      <c r="X31" t="s">
        <v>485</v>
      </c>
      <c r="Y31">
        <v>0.76593730000000004</v>
      </c>
      <c r="Z31">
        <v>0.79913573999999998</v>
      </c>
      <c r="AA31">
        <v>0.78253649999999997</v>
      </c>
      <c r="AB31">
        <v>0.31622942999999998</v>
      </c>
      <c r="AC31">
        <v>0.33799717000000001</v>
      </c>
      <c r="AD31">
        <v>0.3271133</v>
      </c>
      <c r="AE31" t="s">
        <v>72</v>
      </c>
      <c r="AF31" t="s">
        <v>76</v>
      </c>
      <c r="AG31" t="s">
        <v>40</v>
      </c>
    </row>
    <row r="32" spans="1:33" x14ac:dyDescent="0.2">
      <c r="A32">
        <v>117</v>
      </c>
      <c r="B32" t="s">
        <v>486</v>
      </c>
      <c r="C32" t="s">
        <v>487</v>
      </c>
      <c r="D32" t="s">
        <v>35</v>
      </c>
      <c r="E32" t="s">
        <v>488</v>
      </c>
      <c r="F32" t="s">
        <v>489</v>
      </c>
      <c r="G32">
        <v>4.1666671633720398E-2</v>
      </c>
      <c r="H32">
        <v>8.6171710863708999E-3</v>
      </c>
      <c r="I32">
        <v>3.5971224308013902E-2</v>
      </c>
      <c r="J32">
        <v>0.23449395596980999</v>
      </c>
      <c r="K32">
        <v>8.2383766770362896E-2</v>
      </c>
      <c r="L32">
        <v>9</v>
      </c>
      <c r="M32">
        <v>1.19778668880463</v>
      </c>
      <c r="N32">
        <v>0.218197926878929</v>
      </c>
      <c r="O32">
        <v>0.24104157090187101</v>
      </c>
      <c r="P32">
        <v>0.73001116514205899</v>
      </c>
      <c r="Q32">
        <v>0.32815572619438199</v>
      </c>
      <c r="R32" t="s">
        <v>490</v>
      </c>
      <c r="S32" t="s">
        <v>491</v>
      </c>
      <c r="T32">
        <v>1.0766892300586901</v>
      </c>
      <c r="U32">
        <v>4</v>
      </c>
      <c r="V32">
        <v>4</v>
      </c>
      <c r="W32" t="s">
        <v>488</v>
      </c>
      <c r="X32" t="s">
        <v>489</v>
      </c>
      <c r="Y32">
        <v>0.62073909999999999</v>
      </c>
      <c r="Z32">
        <v>0.67047953999999998</v>
      </c>
      <c r="AA32">
        <v>0.64560930000000005</v>
      </c>
      <c r="AB32">
        <v>0.34485285999999998</v>
      </c>
      <c r="AC32">
        <v>0.15819185999999999</v>
      </c>
      <c r="AD32">
        <v>0.25152236</v>
      </c>
      <c r="AG32" t="s">
        <v>40</v>
      </c>
    </row>
    <row r="33" spans="1:33" x14ac:dyDescent="0.2">
      <c r="A33">
        <v>121</v>
      </c>
      <c r="B33" t="s">
        <v>495</v>
      </c>
      <c r="C33" t="s">
        <v>501</v>
      </c>
      <c r="D33" t="s">
        <v>42</v>
      </c>
      <c r="E33" t="s">
        <v>497</v>
      </c>
      <c r="F33" t="s">
        <v>502</v>
      </c>
      <c r="G33">
        <v>0</v>
      </c>
      <c r="H33">
        <v>8.8015235960482996E-3</v>
      </c>
      <c r="I33">
        <v>5.6179776787757901E-2</v>
      </c>
      <c r="J33">
        <v>2.4798749014735201E-2</v>
      </c>
      <c r="K33">
        <v>2.20419708639383E-2</v>
      </c>
      <c r="L33">
        <v>0</v>
      </c>
      <c r="M33">
        <v>0.78333556652069103</v>
      </c>
      <c r="N33">
        <v>0.24079568684101099</v>
      </c>
      <c r="O33">
        <v>0.350086539983749</v>
      </c>
      <c r="P33">
        <v>0.31333422660827598</v>
      </c>
      <c r="Q33">
        <v>0.5</v>
      </c>
      <c r="R33" t="s">
        <v>499</v>
      </c>
      <c r="S33" t="s">
        <v>503</v>
      </c>
      <c r="T33">
        <v>1.26729669414049</v>
      </c>
      <c r="U33">
        <v>5</v>
      </c>
      <c r="V33">
        <v>4</v>
      </c>
      <c r="W33" t="s">
        <v>500</v>
      </c>
      <c r="X33" t="s">
        <v>504</v>
      </c>
      <c r="Y33">
        <v>0.73534739999999998</v>
      </c>
      <c r="Z33">
        <v>0.80626624999999996</v>
      </c>
      <c r="AA33">
        <v>0.77080680000000001</v>
      </c>
      <c r="AB33">
        <v>2.2902219000000001E-2</v>
      </c>
      <c r="AC33">
        <v>0.30161110000000002</v>
      </c>
      <c r="AD33">
        <v>0.16225666</v>
      </c>
      <c r="AE33" t="s">
        <v>72</v>
      </c>
      <c r="AF33" t="s">
        <v>162</v>
      </c>
      <c r="AG33" t="s">
        <v>40</v>
      </c>
    </row>
    <row r="34" spans="1:33" x14ac:dyDescent="0.2">
      <c r="A34">
        <v>126</v>
      </c>
      <c r="B34" t="s">
        <v>515</v>
      </c>
      <c r="C34" t="s">
        <v>296</v>
      </c>
      <c r="D34" t="s">
        <v>35</v>
      </c>
      <c r="E34" t="s">
        <v>516</v>
      </c>
      <c r="F34" t="s">
        <v>517</v>
      </c>
      <c r="G34">
        <v>2.4096382781863199E-2</v>
      </c>
      <c r="H34">
        <v>1.2379607185721399E-2</v>
      </c>
      <c r="I34">
        <v>5.7553958147764213E-2</v>
      </c>
      <c r="J34">
        <v>0.25255683064460799</v>
      </c>
      <c r="K34">
        <v>7.8316338360309601E-2</v>
      </c>
      <c r="L34">
        <v>4</v>
      </c>
      <c r="M34">
        <v>1.7207653522491499</v>
      </c>
      <c r="N34">
        <v>0.39808270335197499</v>
      </c>
      <c r="O34">
        <v>0.46643868088722201</v>
      </c>
      <c r="P34">
        <v>0.43019133806228599</v>
      </c>
      <c r="Q34">
        <v>0.5</v>
      </c>
      <c r="R34" t="s">
        <v>518</v>
      </c>
      <c r="S34" t="s">
        <v>519</v>
      </c>
      <c r="T34">
        <v>1.49855023626029</v>
      </c>
      <c r="U34">
        <v>4</v>
      </c>
      <c r="V34">
        <v>3</v>
      </c>
      <c r="W34" t="s">
        <v>520</v>
      </c>
      <c r="X34" t="s">
        <v>297</v>
      </c>
      <c r="Y34">
        <v>0.79574924999999996</v>
      </c>
      <c r="Z34">
        <v>0.74668020000000002</v>
      </c>
      <c r="AA34">
        <v>0.77121470000000003</v>
      </c>
      <c r="AB34">
        <v>0.32706863000000003</v>
      </c>
      <c r="AC34">
        <v>0.49461981999999999</v>
      </c>
      <c r="AD34">
        <v>0.41084419999999999</v>
      </c>
      <c r="AE34" t="s">
        <v>72</v>
      </c>
      <c r="AF34" t="s">
        <v>76</v>
      </c>
      <c r="AG34" t="s">
        <v>40</v>
      </c>
    </row>
    <row r="35" spans="1:33" x14ac:dyDescent="0.2">
      <c r="A35">
        <v>130</v>
      </c>
      <c r="B35" t="s">
        <v>524</v>
      </c>
      <c r="C35" t="s">
        <v>532</v>
      </c>
      <c r="D35" t="s">
        <v>42</v>
      </c>
      <c r="E35" t="s">
        <v>530</v>
      </c>
      <c r="F35" t="s">
        <v>533</v>
      </c>
      <c r="G35">
        <v>0</v>
      </c>
      <c r="H35">
        <v>0.14962190389633201</v>
      </c>
      <c r="I35">
        <v>0.28571429848670998</v>
      </c>
      <c r="J35">
        <v>4.6155177056789398E-2</v>
      </c>
      <c r="K35">
        <v>0.16925227642059301</v>
      </c>
      <c r="L35">
        <v>0</v>
      </c>
      <c r="M35">
        <v>15.710298538208001</v>
      </c>
      <c r="N35">
        <v>0.28856518864631697</v>
      </c>
      <c r="O35">
        <v>0.27169835567474399</v>
      </c>
      <c r="P35">
        <v>0.52367663383483898</v>
      </c>
      <c r="Q35">
        <v>1</v>
      </c>
      <c r="R35" t="s">
        <v>534</v>
      </c>
      <c r="S35" t="s">
        <v>39</v>
      </c>
      <c r="T35">
        <v>0.42578494588043703</v>
      </c>
      <c r="U35">
        <v>4</v>
      </c>
      <c r="V35">
        <v>4</v>
      </c>
      <c r="W35" t="s">
        <v>530</v>
      </c>
      <c r="X35" t="s">
        <v>533</v>
      </c>
      <c r="Y35">
        <v>0.71111760000000002</v>
      </c>
      <c r="Z35">
        <v>0.69729719999999995</v>
      </c>
      <c r="AA35">
        <v>0.70420740000000004</v>
      </c>
      <c r="AB35">
        <v>3.8362159999999999E-2</v>
      </c>
      <c r="AC35">
        <v>2.0978816E-3</v>
      </c>
      <c r="AD35">
        <v>2.0230021000000001E-2</v>
      </c>
      <c r="AG35" t="s">
        <v>40</v>
      </c>
    </row>
    <row r="36" spans="1:33" x14ac:dyDescent="0.2">
      <c r="A36">
        <v>136</v>
      </c>
      <c r="B36" t="s">
        <v>550</v>
      </c>
      <c r="C36" t="s">
        <v>555</v>
      </c>
      <c r="D36" t="s">
        <v>42</v>
      </c>
      <c r="E36" t="s">
        <v>552</v>
      </c>
      <c r="F36" t="s">
        <v>556</v>
      </c>
      <c r="G36">
        <v>0</v>
      </c>
      <c r="H36">
        <v>2.9258875176310501E-2</v>
      </c>
      <c r="I36">
        <v>3.4482758492231397E-2</v>
      </c>
      <c r="J36">
        <v>6.4743429422378498E-2</v>
      </c>
      <c r="K36">
        <v>0.25599467754364003</v>
      </c>
      <c r="L36">
        <v>0</v>
      </c>
      <c r="M36">
        <v>2.54552221298218</v>
      </c>
      <c r="N36">
        <v>0.523648321628571</v>
      </c>
      <c r="O36">
        <v>0.58192813396453902</v>
      </c>
      <c r="P36">
        <v>1</v>
      </c>
      <c r="Q36">
        <v>0.84850740432739302</v>
      </c>
      <c r="R36" t="s">
        <v>39</v>
      </c>
      <c r="S36" t="s">
        <v>557</v>
      </c>
      <c r="T36">
        <v>1.04218167223483</v>
      </c>
      <c r="U36">
        <v>5</v>
      </c>
      <c r="V36">
        <v>7</v>
      </c>
      <c r="W36" t="s">
        <v>552</v>
      </c>
      <c r="X36" t="s">
        <v>556</v>
      </c>
      <c r="Y36">
        <v>0.74561655999999998</v>
      </c>
      <c r="Z36">
        <v>0.76580269999999995</v>
      </c>
      <c r="AA36">
        <v>0.75570965000000001</v>
      </c>
      <c r="AB36">
        <v>0.18206261000000001</v>
      </c>
      <c r="AC36">
        <v>0.41948226</v>
      </c>
      <c r="AD36">
        <v>0.30077242999999998</v>
      </c>
      <c r="AG36" t="s">
        <v>40</v>
      </c>
    </row>
    <row r="37" spans="1:33" x14ac:dyDescent="0.2">
      <c r="A37">
        <v>139</v>
      </c>
      <c r="B37" t="s">
        <v>560</v>
      </c>
      <c r="C37" t="s">
        <v>565</v>
      </c>
      <c r="D37" t="s">
        <v>42</v>
      </c>
      <c r="E37" t="s">
        <v>566</v>
      </c>
      <c r="F37" t="s">
        <v>567</v>
      </c>
      <c r="G37">
        <v>0</v>
      </c>
      <c r="H37">
        <v>1.6145175322890299E-2</v>
      </c>
      <c r="I37">
        <v>3.8461539894342402E-2</v>
      </c>
      <c r="J37">
        <v>2.3191735148429898E-2</v>
      </c>
      <c r="K37">
        <v>6.9472685456275898E-2</v>
      </c>
      <c r="L37">
        <v>0</v>
      </c>
      <c r="M37">
        <v>1.67909812927246</v>
      </c>
      <c r="N37">
        <v>0.304500311613083</v>
      </c>
      <c r="O37">
        <v>0.425779789686203</v>
      </c>
      <c r="P37">
        <v>0.41977453231811501</v>
      </c>
      <c r="Q37">
        <v>1</v>
      </c>
      <c r="R37" t="s">
        <v>568</v>
      </c>
      <c r="S37" t="s">
        <v>39</v>
      </c>
      <c r="T37">
        <v>1.1375026479435399</v>
      </c>
      <c r="U37">
        <v>6</v>
      </c>
      <c r="V37">
        <v>7</v>
      </c>
      <c r="W37" t="s">
        <v>562</v>
      </c>
      <c r="X37" t="s">
        <v>567</v>
      </c>
      <c r="Y37">
        <v>0.62849580000000005</v>
      </c>
      <c r="Z37">
        <v>0.72112226000000001</v>
      </c>
      <c r="AA37">
        <v>0.67480903999999997</v>
      </c>
      <c r="AB37">
        <v>0.25406600000000001</v>
      </c>
      <c r="AC37">
        <v>2.2838161999999999E-2</v>
      </c>
      <c r="AD37">
        <v>0.13845208000000001</v>
      </c>
      <c r="AF37" t="s">
        <v>569</v>
      </c>
      <c r="AG37" t="s">
        <v>40</v>
      </c>
    </row>
    <row r="38" spans="1:33" x14ac:dyDescent="0.2">
      <c r="A38">
        <v>143</v>
      </c>
      <c r="B38" t="s">
        <v>572</v>
      </c>
      <c r="C38" t="s">
        <v>578</v>
      </c>
      <c r="D38" t="s">
        <v>46</v>
      </c>
      <c r="G38">
        <v>1.26582309603691E-2</v>
      </c>
      <c r="H38">
        <v>0</v>
      </c>
      <c r="J38">
        <v>0.18726232647895799</v>
      </c>
      <c r="K38">
        <v>3.8699999451637303E-2</v>
      </c>
      <c r="L38">
        <v>3</v>
      </c>
      <c r="M38">
        <v>0</v>
      </c>
      <c r="T38">
        <v>1.4992856285103799</v>
      </c>
      <c r="U38">
        <v>6</v>
      </c>
      <c r="V38">
        <v>5</v>
      </c>
      <c r="W38" t="s">
        <v>573</v>
      </c>
      <c r="X38" t="s">
        <v>579</v>
      </c>
      <c r="Y38">
        <v>0.76172779999999995</v>
      </c>
      <c r="Z38">
        <v>0.55683269999999996</v>
      </c>
      <c r="AA38">
        <v>0.65928023999999996</v>
      </c>
      <c r="AB38">
        <v>0.38268942</v>
      </c>
      <c r="AC38">
        <v>0.60774994000000004</v>
      </c>
      <c r="AD38">
        <v>0.49521968</v>
      </c>
      <c r="AE38" t="s">
        <v>72</v>
      </c>
      <c r="AF38" t="s">
        <v>76</v>
      </c>
      <c r="AG38" t="s">
        <v>40</v>
      </c>
    </row>
    <row r="39" spans="1:33" x14ac:dyDescent="0.2">
      <c r="A39">
        <v>147</v>
      </c>
      <c r="B39" t="s">
        <v>591</v>
      </c>
      <c r="C39" t="s">
        <v>592</v>
      </c>
      <c r="D39" t="s">
        <v>35</v>
      </c>
      <c r="E39" t="s">
        <v>593</v>
      </c>
      <c r="F39" t="s">
        <v>594</v>
      </c>
      <c r="G39">
        <v>6.5116278827190399E-2</v>
      </c>
      <c r="H39">
        <v>7.5000002980232197E-2</v>
      </c>
      <c r="I39">
        <v>0.15000000596046401</v>
      </c>
      <c r="J39">
        <v>0.412218868732452</v>
      </c>
      <c r="K39">
        <v>0.29484999179840099</v>
      </c>
      <c r="L39">
        <v>14</v>
      </c>
      <c r="M39">
        <v>9</v>
      </c>
      <c r="N39">
        <v>0.47261121869087203</v>
      </c>
      <c r="O39">
        <v>0.27661913633346602</v>
      </c>
      <c r="P39">
        <v>1</v>
      </c>
      <c r="Q39">
        <v>0.5</v>
      </c>
      <c r="R39" t="s">
        <v>39</v>
      </c>
      <c r="S39" t="s">
        <v>595</v>
      </c>
      <c r="T39">
        <v>0.81439771901686797</v>
      </c>
      <c r="U39">
        <v>4</v>
      </c>
      <c r="V39">
        <v>4</v>
      </c>
      <c r="W39" t="s">
        <v>593</v>
      </c>
      <c r="X39" t="s">
        <v>594</v>
      </c>
      <c r="Y39">
        <v>0.76299315999999995</v>
      </c>
      <c r="Z39">
        <v>0.73914840000000004</v>
      </c>
      <c r="AA39">
        <v>0.75107073999999996</v>
      </c>
      <c r="AB39">
        <v>0.49154229999999999</v>
      </c>
      <c r="AC39">
        <v>0.61295599999999995</v>
      </c>
      <c r="AD39">
        <v>0.55224912999999998</v>
      </c>
      <c r="AG39" t="s">
        <v>40</v>
      </c>
    </row>
    <row r="40" spans="1:33" x14ac:dyDescent="0.2">
      <c r="A40">
        <v>150</v>
      </c>
      <c r="B40" t="s">
        <v>601</v>
      </c>
      <c r="C40" t="s">
        <v>400</v>
      </c>
      <c r="D40" t="s">
        <v>35</v>
      </c>
      <c r="E40" t="s">
        <v>602</v>
      </c>
      <c r="F40" t="s">
        <v>405</v>
      </c>
      <c r="G40">
        <v>0.18965519964694999</v>
      </c>
      <c r="H40">
        <v>0.13445378839969599</v>
      </c>
      <c r="I40">
        <v>0.26890757679939298</v>
      </c>
      <c r="J40">
        <v>0.181111544370651</v>
      </c>
      <c r="K40">
        <v>0.21764999628067</v>
      </c>
      <c r="L40">
        <v>33</v>
      </c>
      <c r="M40">
        <v>16</v>
      </c>
      <c r="N40">
        <v>0.40379625558853199</v>
      </c>
      <c r="O40">
        <v>0.40669259428978</v>
      </c>
      <c r="P40">
        <v>1</v>
      </c>
      <c r="Q40">
        <v>0.5</v>
      </c>
      <c r="R40" t="s">
        <v>39</v>
      </c>
      <c r="S40" t="s">
        <v>603</v>
      </c>
      <c r="T40">
        <v>0.54772452290266505</v>
      </c>
      <c r="U40">
        <v>5</v>
      </c>
      <c r="V40">
        <v>4</v>
      </c>
      <c r="W40" t="s">
        <v>602</v>
      </c>
      <c r="X40" t="s">
        <v>405</v>
      </c>
      <c r="Y40">
        <v>0.65414225999999998</v>
      </c>
      <c r="Z40">
        <v>0.75006764999999997</v>
      </c>
      <c r="AA40">
        <v>0.70210490000000003</v>
      </c>
      <c r="AB40">
        <v>0.78845310000000002</v>
      </c>
      <c r="AC40">
        <v>0.49417633</v>
      </c>
      <c r="AD40">
        <v>0.64131473999999999</v>
      </c>
      <c r="AG40" t="s">
        <v>40</v>
      </c>
    </row>
    <row r="41" spans="1:33" x14ac:dyDescent="0.2">
      <c r="A41">
        <v>155</v>
      </c>
      <c r="B41" t="s">
        <v>609</v>
      </c>
      <c r="C41" t="s">
        <v>621</v>
      </c>
      <c r="D41" t="s">
        <v>46</v>
      </c>
      <c r="G41">
        <v>1.6853937879204799E-2</v>
      </c>
      <c r="H41">
        <v>0</v>
      </c>
      <c r="J41">
        <v>9.5242269337177304E-2</v>
      </c>
      <c r="K41">
        <v>1.59499999135733E-2</v>
      </c>
      <c r="L41">
        <v>3</v>
      </c>
      <c r="M41">
        <v>0</v>
      </c>
      <c r="T41">
        <v>1.18877450030258</v>
      </c>
      <c r="U41">
        <v>5</v>
      </c>
      <c r="V41">
        <v>5</v>
      </c>
      <c r="W41" t="s">
        <v>611</v>
      </c>
      <c r="X41" t="s">
        <v>622</v>
      </c>
      <c r="Y41">
        <v>0.74247134000000004</v>
      </c>
      <c r="Z41">
        <v>0.66089569999999997</v>
      </c>
      <c r="AA41">
        <v>0.70168350000000002</v>
      </c>
      <c r="AB41">
        <v>0.24318637000000001</v>
      </c>
      <c r="AC41">
        <v>6.7169019999999996E-2</v>
      </c>
      <c r="AD41">
        <v>0.1551777</v>
      </c>
      <c r="AE41" t="s">
        <v>72</v>
      </c>
      <c r="AF41" t="s">
        <v>76</v>
      </c>
      <c r="AG41" t="s">
        <v>40</v>
      </c>
    </row>
    <row r="42" spans="1:33" x14ac:dyDescent="0.2">
      <c r="A42">
        <v>158</v>
      </c>
      <c r="B42" t="s">
        <v>623</v>
      </c>
      <c r="C42" t="s">
        <v>632</v>
      </c>
      <c r="D42" t="s">
        <v>46</v>
      </c>
      <c r="G42">
        <v>7.6923079788684803E-2</v>
      </c>
      <c r="H42">
        <v>0</v>
      </c>
      <c r="J42">
        <v>0.35810175538063099</v>
      </c>
      <c r="K42">
        <v>1.79899036884308E-2</v>
      </c>
      <c r="L42">
        <v>14</v>
      </c>
      <c r="M42">
        <v>0</v>
      </c>
      <c r="T42">
        <v>1.49080822192504</v>
      </c>
      <c r="U42">
        <v>5</v>
      </c>
      <c r="V42">
        <v>8</v>
      </c>
      <c r="W42" t="s">
        <v>629</v>
      </c>
      <c r="X42" t="s">
        <v>633</v>
      </c>
      <c r="Y42">
        <v>0.48890853000000001</v>
      </c>
      <c r="Z42">
        <v>0.78772540000000002</v>
      </c>
      <c r="AA42">
        <v>0.63831700000000002</v>
      </c>
      <c r="AB42">
        <v>8.1536955999999994E-2</v>
      </c>
      <c r="AC42">
        <v>0.3202893</v>
      </c>
      <c r="AD42">
        <v>0.20091313</v>
      </c>
      <c r="AG42" t="s">
        <v>40</v>
      </c>
    </row>
    <row r="43" spans="1:33" x14ac:dyDescent="0.2">
      <c r="A43">
        <v>160</v>
      </c>
      <c r="B43" t="s">
        <v>634</v>
      </c>
      <c r="C43" t="s">
        <v>636</v>
      </c>
      <c r="D43" t="s">
        <v>42</v>
      </c>
      <c r="E43" t="s">
        <v>635</v>
      </c>
      <c r="F43" t="s">
        <v>637</v>
      </c>
      <c r="G43">
        <v>0</v>
      </c>
      <c r="H43">
        <v>9.9958889186381999E-3</v>
      </c>
      <c r="I43">
        <v>2.7777777984738398E-2</v>
      </c>
      <c r="J43">
        <v>3.8459666073322303E-2</v>
      </c>
      <c r="K43">
        <v>0.10050323605537401</v>
      </c>
      <c r="L43">
        <v>0</v>
      </c>
      <c r="M43">
        <v>1.07955598831177</v>
      </c>
      <c r="N43">
        <v>0.52908849716186501</v>
      </c>
      <c r="O43">
        <v>0.25642222166061401</v>
      </c>
      <c r="P43">
        <v>1</v>
      </c>
      <c r="Q43">
        <v>0.35985198616981501</v>
      </c>
      <c r="R43" t="s">
        <v>39</v>
      </c>
      <c r="S43" t="s">
        <v>638</v>
      </c>
      <c r="T43">
        <v>0.86470679927352201</v>
      </c>
      <c r="U43">
        <v>6</v>
      </c>
      <c r="V43">
        <v>6</v>
      </c>
      <c r="W43" t="s">
        <v>635</v>
      </c>
      <c r="X43" t="s">
        <v>639</v>
      </c>
      <c r="Y43">
        <v>0.7858948</v>
      </c>
      <c r="Z43">
        <v>0.75545340000000005</v>
      </c>
      <c r="AA43">
        <v>0.77067410000000003</v>
      </c>
      <c r="AB43">
        <v>0.53203756000000002</v>
      </c>
      <c r="AC43">
        <v>0.71451335999999999</v>
      </c>
      <c r="AD43">
        <v>0.62327546</v>
      </c>
      <c r="AG43" t="s">
        <v>40</v>
      </c>
    </row>
    <row r="44" spans="1:33" x14ac:dyDescent="0.2">
      <c r="A44">
        <v>162</v>
      </c>
      <c r="B44" t="s">
        <v>642</v>
      </c>
      <c r="C44" t="s">
        <v>643</v>
      </c>
      <c r="D44" t="s">
        <v>35</v>
      </c>
      <c r="E44" t="s">
        <v>644</v>
      </c>
      <c r="F44" t="s">
        <v>645</v>
      </c>
      <c r="G44">
        <v>3.4653462469577803E-2</v>
      </c>
      <c r="H44">
        <v>4.1666667908430099E-2</v>
      </c>
      <c r="I44">
        <v>4.1666667908430099E-2</v>
      </c>
      <c r="J44">
        <v>0.167934015393257</v>
      </c>
      <c r="K44">
        <v>0.179700002074242</v>
      </c>
      <c r="L44">
        <v>7</v>
      </c>
      <c r="M44">
        <v>3</v>
      </c>
      <c r="N44">
        <v>0.24256452918052701</v>
      </c>
      <c r="O44">
        <v>0.531027972698212</v>
      </c>
      <c r="P44">
        <v>1</v>
      </c>
      <c r="Q44">
        <v>1</v>
      </c>
      <c r="R44" t="s">
        <v>39</v>
      </c>
      <c r="S44" t="s">
        <v>39</v>
      </c>
      <c r="T44">
        <v>1.0299664365728201</v>
      </c>
      <c r="U44">
        <v>5</v>
      </c>
      <c r="V44">
        <v>5</v>
      </c>
      <c r="W44" t="s">
        <v>644</v>
      </c>
      <c r="X44" t="s">
        <v>645</v>
      </c>
      <c r="Y44">
        <v>0.68939375999999997</v>
      </c>
      <c r="Z44">
        <v>0.80966610000000006</v>
      </c>
      <c r="AA44">
        <v>0.74952996000000005</v>
      </c>
      <c r="AB44">
        <v>0.10314945</v>
      </c>
      <c r="AC44">
        <v>0.61000019999999999</v>
      </c>
      <c r="AD44">
        <v>0.35657483000000001</v>
      </c>
      <c r="AG44" t="s">
        <v>40</v>
      </c>
    </row>
    <row r="45" spans="1:33" x14ac:dyDescent="0.2">
      <c r="A45">
        <v>166</v>
      </c>
      <c r="B45" t="s">
        <v>652</v>
      </c>
      <c r="C45" t="s">
        <v>657</v>
      </c>
      <c r="D45" t="s">
        <v>42</v>
      </c>
      <c r="E45" t="s">
        <v>654</v>
      </c>
      <c r="F45" t="s">
        <v>658</v>
      </c>
      <c r="G45">
        <v>0</v>
      </c>
      <c r="H45">
        <v>8.0107487738132008E-3</v>
      </c>
      <c r="I45">
        <v>3.7500001490116099E-2</v>
      </c>
      <c r="J45">
        <v>2.3436300456523899E-2</v>
      </c>
      <c r="K45">
        <v>3.3986933529376998E-2</v>
      </c>
      <c r="L45">
        <v>0</v>
      </c>
      <c r="M45">
        <v>0.64085984230041504</v>
      </c>
      <c r="N45">
        <v>0.54485976696014404</v>
      </c>
      <c r="O45">
        <v>0.57652997970581099</v>
      </c>
      <c r="P45">
        <v>0.65772116184234597</v>
      </c>
      <c r="Q45">
        <v>0.32478800415992698</v>
      </c>
      <c r="R45" t="s">
        <v>656</v>
      </c>
      <c r="S45" t="s">
        <v>659</v>
      </c>
      <c r="T45">
        <v>1.4609548219655399</v>
      </c>
      <c r="U45">
        <v>5</v>
      </c>
      <c r="V45">
        <v>8</v>
      </c>
      <c r="W45" t="s">
        <v>654</v>
      </c>
      <c r="X45" t="s">
        <v>660</v>
      </c>
      <c r="Y45">
        <v>0.75136460000000005</v>
      </c>
      <c r="Z45">
        <v>0.81966479999999997</v>
      </c>
      <c r="AA45">
        <v>0.78551470000000001</v>
      </c>
      <c r="AB45">
        <v>0.56721705</v>
      </c>
      <c r="AC45">
        <v>0.35095483</v>
      </c>
      <c r="AD45">
        <v>0.45908594000000003</v>
      </c>
      <c r="AG45" t="s">
        <v>40</v>
      </c>
    </row>
    <row r="46" spans="1:33" x14ac:dyDescent="0.2">
      <c r="A46">
        <v>173</v>
      </c>
      <c r="B46" t="s">
        <v>676</v>
      </c>
      <c r="C46" t="s">
        <v>681</v>
      </c>
      <c r="D46" t="s">
        <v>46</v>
      </c>
      <c r="G46">
        <v>2.9268288984894801E-2</v>
      </c>
      <c r="H46">
        <v>0</v>
      </c>
      <c r="J46">
        <v>0.102943100035191</v>
      </c>
      <c r="K46">
        <v>1.2099999934434899E-2</v>
      </c>
      <c r="L46">
        <v>6</v>
      </c>
      <c r="M46">
        <v>0</v>
      </c>
      <c r="T46">
        <v>1.3549743896933699</v>
      </c>
      <c r="U46">
        <v>5</v>
      </c>
      <c r="V46">
        <v>4</v>
      </c>
      <c r="W46" t="s">
        <v>677</v>
      </c>
      <c r="X46" t="s">
        <v>682</v>
      </c>
      <c r="Y46">
        <v>0.73174340000000004</v>
      </c>
      <c r="Z46">
        <v>0.78560839999999998</v>
      </c>
      <c r="AA46">
        <v>0.75867593</v>
      </c>
      <c r="AB46">
        <v>0.20821120000000001</v>
      </c>
      <c r="AC46">
        <v>0.53590530000000003</v>
      </c>
      <c r="AD46">
        <v>0.37205823999999998</v>
      </c>
      <c r="AG46" t="s">
        <v>40</v>
      </c>
    </row>
    <row r="47" spans="1:33" x14ac:dyDescent="0.2">
      <c r="A47">
        <v>183</v>
      </c>
      <c r="B47" t="s">
        <v>712</v>
      </c>
      <c r="C47" t="s">
        <v>713</v>
      </c>
      <c r="D47" t="s">
        <v>35</v>
      </c>
      <c r="E47" t="s">
        <v>714</v>
      </c>
      <c r="F47" t="s">
        <v>715</v>
      </c>
      <c r="G47">
        <v>1.59574467688798E-2</v>
      </c>
      <c r="H47">
        <v>2.7379384264349899E-2</v>
      </c>
      <c r="I47">
        <v>0.10679611563682601</v>
      </c>
      <c r="J47">
        <v>0.29243919253349299</v>
      </c>
      <c r="K47">
        <v>0.123647548258305</v>
      </c>
      <c r="L47">
        <v>3</v>
      </c>
      <c r="M47">
        <v>2.8200767040252699</v>
      </c>
      <c r="N47">
        <v>0.49772608280181901</v>
      </c>
      <c r="O47">
        <v>0.36347937583923301</v>
      </c>
      <c r="P47">
        <v>1</v>
      </c>
      <c r="Q47">
        <v>0.25637060403823902</v>
      </c>
      <c r="R47" t="s">
        <v>39</v>
      </c>
      <c r="S47" t="s">
        <v>716</v>
      </c>
      <c r="T47">
        <v>1.2855144951947699</v>
      </c>
      <c r="U47">
        <v>6</v>
      </c>
      <c r="V47">
        <v>7</v>
      </c>
      <c r="W47" t="s">
        <v>714</v>
      </c>
      <c r="X47" t="s">
        <v>717</v>
      </c>
      <c r="Y47">
        <v>0.80626209999999998</v>
      </c>
      <c r="Z47">
        <v>0.70211846</v>
      </c>
      <c r="AA47">
        <v>0.75419027000000005</v>
      </c>
      <c r="AB47">
        <v>8.3157844999999994E-2</v>
      </c>
      <c r="AC47">
        <v>5.7210509999999999E-2</v>
      </c>
      <c r="AD47">
        <v>7.0184179999999999E-2</v>
      </c>
      <c r="AG47" t="s">
        <v>40</v>
      </c>
    </row>
    <row r="48" spans="1:33" x14ac:dyDescent="0.2">
      <c r="A48">
        <v>187</v>
      </c>
      <c r="B48" t="s">
        <v>720</v>
      </c>
      <c r="C48" t="s">
        <v>725</v>
      </c>
      <c r="D48" t="s">
        <v>42</v>
      </c>
      <c r="E48" t="s">
        <v>722</v>
      </c>
      <c r="F48" t="s">
        <v>726</v>
      </c>
      <c r="G48">
        <v>0</v>
      </c>
      <c r="H48">
        <v>7.9999998211860601E-2</v>
      </c>
      <c r="I48">
        <v>7.9999998211860601E-2</v>
      </c>
      <c r="J48">
        <v>6.2511913478374398E-2</v>
      </c>
      <c r="K48">
        <v>0.102099999785423</v>
      </c>
      <c r="L48">
        <v>0</v>
      </c>
      <c r="M48">
        <v>6</v>
      </c>
      <c r="N48">
        <v>0.63412553071975697</v>
      </c>
      <c r="O48">
        <v>0.41819030046463002</v>
      </c>
      <c r="P48">
        <v>1</v>
      </c>
      <c r="Q48">
        <v>1</v>
      </c>
      <c r="R48" t="s">
        <v>39</v>
      </c>
      <c r="S48" t="s">
        <v>39</v>
      </c>
      <c r="T48">
        <v>0.68530806282323498</v>
      </c>
      <c r="U48">
        <v>6</v>
      </c>
      <c r="V48">
        <v>5</v>
      </c>
      <c r="W48" t="s">
        <v>722</v>
      </c>
      <c r="X48" t="s">
        <v>726</v>
      </c>
      <c r="Y48">
        <v>0.78879136000000005</v>
      </c>
      <c r="Z48">
        <v>0.84193810000000002</v>
      </c>
      <c r="AA48">
        <v>0.81536470000000005</v>
      </c>
      <c r="AB48">
        <v>0.14649429999999999</v>
      </c>
      <c r="AC48">
        <v>0.22770029999999999</v>
      </c>
      <c r="AD48">
        <v>0.18709729999999999</v>
      </c>
      <c r="AG48" t="s">
        <v>40</v>
      </c>
    </row>
    <row r="49" spans="1:33" x14ac:dyDescent="0.2">
      <c r="A49">
        <v>191</v>
      </c>
      <c r="B49" t="s">
        <v>727</v>
      </c>
      <c r="C49" t="s">
        <v>734</v>
      </c>
      <c r="D49" t="s">
        <v>46</v>
      </c>
      <c r="G49">
        <v>0.125748500227928</v>
      </c>
      <c r="H49">
        <v>0</v>
      </c>
      <c r="J49">
        <v>0.15298692882060999</v>
      </c>
      <c r="K49">
        <v>1.33734280243515E-2</v>
      </c>
      <c r="L49">
        <v>21</v>
      </c>
      <c r="M49">
        <v>0</v>
      </c>
      <c r="T49">
        <v>1.2610334092348201</v>
      </c>
      <c r="U49">
        <v>6</v>
      </c>
      <c r="V49">
        <v>8</v>
      </c>
      <c r="W49" t="s">
        <v>732</v>
      </c>
      <c r="X49" t="s">
        <v>735</v>
      </c>
      <c r="Y49">
        <v>0.64933629999999998</v>
      </c>
      <c r="Z49">
        <v>0.75635549999999996</v>
      </c>
      <c r="AA49">
        <v>0.70284592999999995</v>
      </c>
      <c r="AB49">
        <v>4.8217030000000001E-2</v>
      </c>
      <c r="AC49">
        <v>9.3445790000000001E-2</v>
      </c>
      <c r="AD49">
        <v>7.0831409999999997E-2</v>
      </c>
      <c r="AG49" t="s">
        <v>40</v>
      </c>
    </row>
    <row r="50" spans="1:33" x14ac:dyDescent="0.2">
      <c r="A50">
        <v>193</v>
      </c>
      <c r="B50" t="s">
        <v>49</v>
      </c>
      <c r="C50" t="s">
        <v>525</v>
      </c>
      <c r="D50" t="s">
        <v>736</v>
      </c>
      <c r="G50">
        <v>0</v>
      </c>
      <c r="H50">
        <v>0</v>
      </c>
      <c r="J50">
        <v>7.028569933027029E-3</v>
      </c>
      <c r="K50">
        <v>2.5535870809108019E-3</v>
      </c>
      <c r="L50">
        <v>0</v>
      </c>
      <c r="M50">
        <v>0</v>
      </c>
      <c r="U50">
        <v>5</v>
      </c>
      <c r="V50">
        <v>5</v>
      </c>
      <c r="W50" t="s">
        <v>54</v>
      </c>
      <c r="X50" t="s">
        <v>527</v>
      </c>
      <c r="AG50" t="s">
        <v>40</v>
      </c>
    </row>
    <row r="51" spans="1:33" x14ac:dyDescent="0.2">
      <c r="A51">
        <v>198</v>
      </c>
      <c r="B51" t="s">
        <v>117</v>
      </c>
      <c r="C51" t="s">
        <v>228</v>
      </c>
      <c r="D51" t="s">
        <v>736</v>
      </c>
      <c r="G51">
        <v>0</v>
      </c>
      <c r="H51">
        <v>0</v>
      </c>
      <c r="J51">
        <v>1.385433878749609E-2</v>
      </c>
      <c r="K51">
        <v>2.02420144341886E-3</v>
      </c>
      <c r="L51">
        <v>0</v>
      </c>
      <c r="M51">
        <v>0</v>
      </c>
      <c r="U51">
        <v>6</v>
      </c>
      <c r="V51">
        <v>5</v>
      </c>
      <c r="W51" t="s">
        <v>123</v>
      </c>
      <c r="X51" t="s">
        <v>233</v>
      </c>
      <c r="AG51" t="s">
        <v>40</v>
      </c>
    </row>
    <row r="52" spans="1:33" x14ac:dyDescent="0.2">
      <c r="A52">
        <v>202</v>
      </c>
      <c r="B52" t="s">
        <v>168</v>
      </c>
      <c r="C52" t="s">
        <v>378</v>
      </c>
      <c r="D52" t="s">
        <v>736</v>
      </c>
      <c r="G52">
        <v>0</v>
      </c>
      <c r="H52">
        <v>0</v>
      </c>
      <c r="J52">
        <v>1.4840699732303619E-2</v>
      </c>
      <c r="K52">
        <v>4.0000001899898052E-3</v>
      </c>
      <c r="L52">
        <v>0</v>
      </c>
      <c r="M52">
        <v>0</v>
      </c>
      <c r="U52">
        <v>6</v>
      </c>
      <c r="V52">
        <v>6</v>
      </c>
      <c r="W52" t="s">
        <v>174</v>
      </c>
      <c r="X52" t="s">
        <v>380</v>
      </c>
      <c r="AG52" t="s">
        <v>40</v>
      </c>
    </row>
    <row r="53" spans="1:33" x14ac:dyDescent="0.2">
      <c r="A53">
        <v>203</v>
      </c>
      <c r="B53" t="s">
        <v>182</v>
      </c>
      <c r="C53" t="s">
        <v>265</v>
      </c>
      <c r="D53" t="s">
        <v>736</v>
      </c>
      <c r="G53">
        <v>0</v>
      </c>
      <c r="H53">
        <v>0</v>
      </c>
      <c r="J53">
        <v>9.6195917576551437E-3</v>
      </c>
      <c r="K53">
        <v>1.410000026226044E-2</v>
      </c>
      <c r="L53">
        <v>0</v>
      </c>
      <c r="M53">
        <v>0</v>
      </c>
      <c r="U53">
        <v>6</v>
      </c>
      <c r="V53">
        <v>6</v>
      </c>
      <c r="W53" t="s">
        <v>184</v>
      </c>
      <c r="X53" t="s">
        <v>267</v>
      </c>
      <c r="AG53" t="s">
        <v>40</v>
      </c>
    </row>
    <row r="54" spans="1:33" x14ac:dyDescent="0.2">
      <c r="A54">
        <v>207</v>
      </c>
      <c r="B54" t="s">
        <v>227</v>
      </c>
      <c r="C54" t="s">
        <v>342</v>
      </c>
      <c r="D54" t="s">
        <v>736</v>
      </c>
      <c r="G54">
        <v>0</v>
      </c>
      <c r="H54">
        <v>0</v>
      </c>
      <c r="J54">
        <v>6.6641699522733688E-3</v>
      </c>
      <c r="K54">
        <v>6.8192826583981514E-3</v>
      </c>
      <c r="L54">
        <v>0</v>
      </c>
      <c r="M54">
        <v>0</v>
      </c>
      <c r="U54">
        <v>5</v>
      </c>
      <c r="V54">
        <v>5</v>
      </c>
      <c r="W54" t="s">
        <v>229</v>
      </c>
      <c r="X54" t="s">
        <v>346</v>
      </c>
      <c r="AG54" t="s">
        <v>40</v>
      </c>
    </row>
    <row r="55" spans="1:33" x14ac:dyDescent="0.2">
      <c r="A55">
        <v>209</v>
      </c>
      <c r="B55" t="s">
        <v>252</v>
      </c>
      <c r="C55" t="s">
        <v>664</v>
      </c>
      <c r="D55" t="s">
        <v>736</v>
      </c>
      <c r="G55">
        <v>0</v>
      </c>
      <c r="H55">
        <v>0</v>
      </c>
      <c r="J55">
        <v>3.2367493957281113E-2</v>
      </c>
      <c r="K55">
        <v>1.129405479878187E-2</v>
      </c>
      <c r="L55">
        <v>0</v>
      </c>
      <c r="M55">
        <v>0</v>
      </c>
      <c r="U55">
        <v>4</v>
      </c>
      <c r="V55">
        <v>5</v>
      </c>
      <c r="W55" t="s">
        <v>254</v>
      </c>
      <c r="X55" t="s">
        <v>738</v>
      </c>
      <c r="AG55" t="s">
        <v>40</v>
      </c>
    </row>
    <row r="56" spans="1:33" x14ac:dyDescent="0.2">
      <c r="A56">
        <v>213</v>
      </c>
      <c r="B56" t="s">
        <v>298</v>
      </c>
      <c r="C56" t="s">
        <v>220</v>
      </c>
      <c r="D56" t="s">
        <v>736</v>
      </c>
      <c r="G56">
        <v>0</v>
      </c>
      <c r="H56">
        <v>0</v>
      </c>
      <c r="J56">
        <v>1.6136672347784039E-2</v>
      </c>
      <c r="K56">
        <v>1.740000024437904E-2</v>
      </c>
      <c r="L56">
        <v>0</v>
      </c>
      <c r="M56">
        <v>0</v>
      </c>
      <c r="U56">
        <v>4</v>
      </c>
      <c r="V56">
        <v>7</v>
      </c>
      <c r="W56" t="s">
        <v>300</v>
      </c>
      <c r="X56" t="s">
        <v>222</v>
      </c>
      <c r="AG56" t="s">
        <v>40</v>
      </c>
    </row>
    <row r="57" spans="1:33" x14ac:dyDescent="0.2">
      <c r="A57">
        <v>215</v>
      </c>
      <c r="B57" t="s">
        <v>320</v>
      </c>
      <c r="C57" t="s">
        <v>78</v>
      </c>
      <c r="D57" t="s">
        <v>736</v>
      </c>
      <c r="G57">
        <v>0</v>
      </c>
      <c r="H57">
        <v>0</v>
      </c>
      <c r="J57">
        <v>1.197357568889856E-2</v>
      </c>
      <c r="K57">
        <v>3.5599999129772193E-2</v>
      </c>
      <c r="L57">
        <v>0</v>
      </c>
      <c r="M57">
        <v>0</v>
      </c>
      <c r="U57">
        <v>4</v>
      </c>
      <c r="V57">
        <v>7</v>
      </c>
      <c r="W57" t="s">
        <v>322</v>
      </c>
      <c r="X57" t="s">
        <v>80</v>
      </c>
      <c r="AG57" t="s">
        <v>40</v>
      </c>
    </row>
    <row r="58" spans="1:33" x14ac:dyDescent="0.2">
      <c r="A58">
        <v>222</v>
      </c>
      <c r="B58" t="s">
        <v>385</v>
      </c>
      <c r="C58" t="s">
        <v>143</v>
      </c>
      <c r="D58" t="s">
        <v>736</v>
      </c>
      <c r="G58">
        <v>0</v>
      </c>
      <c r="H58">
        <v>0</v>
      </c>
      <c r="J58">
        <v>1.593880727887154E-2</v>
      </c>
      <c r="K58">
        <v>1.9405508413910869E-2</v>
      </c>
      <c r="L58">
        <v>0</v>
      </c>
      <c r="M58">
        <v>0</v>
      </c>
      <c r="U58">
        <v>4</v>
      </c>
      <c r="V58">
        <v>4</v>
      </c>
      <c r="W58" t="s">
        <v>387</v>
      </c>
      <c r="X58" t="s">
        <v>145</v>
      </c>
      <c r="AG58" t="s">
        <v>40</v>
      </c>
    </row>
    <row r="59" spans="1:33" x14ac:dyDescent="0.2">
      <c r="A59">
        <v>233</v>
      </c>
      <c r="B59" t="s">
        <v>507</v>
      </c>
      <c r="C59" t="s">
        <v>610</v>
      </c>
      <c r="D59" t="s">
        <v>736</v>
      </c>
      <c r="G59">
        <v>0</v>
      </c>
      <c r="H59">
        <v>0</v>
      </c>
      <c r="J59">
        <v>5.5512399412691593E-3</v>
      </c>
      <c r="K59">
        <v>3.1666667200624938E-3</v>
      </c>
      <c r="L59">
        <v>0</v>
      </c>
      <c r="M59">
        <v>0</v>
      </c>
      <c r="U59">
        <v>6</v>
      </c>
      <c r="V59">
        <v>4</v>
      </c>
      <c r="W59" t="s">
        <v>508</v>
      </c>
      <c r="X59" t="s">
        <v>615</v>
      </c>
      <c r="AG59" t="s">
        <v>40</v>
      </c>
    </row>
    <row r="60" spans="1:33" x14ac:dyDescent="0.2">
      <c r="A60">
        <v>236</v>
      </c>
      <c r="B60" t="s">
        <v>537</v>
      </c>
      <c r="C60" t="s">
        <v>419</v>
      </c>
      <c r="D60" t="s">
        <v>736</v>
      </c>
      <c r="G60">
        <v>0</v>
      </c>
      <c r="H60">
        <v>0</v>
      </c>
      <c r="J60">
        <v>4.1131090372800827E-2</v>
      </c>
      <c r="K60">
        <v>1.7902916297316551E-2</v>
      </c>
      <c r="L60">
        <v>0</v>
      </c>
      <c r="M60">
        <v>0</v>
      </c>
      <c r="U60">
        <v>6</v>
      </c>
      <c r="V60">
        <v>8</v>
      </c>
      <c r="W60" t="s">
        <v>542</v>
      </c>
      <c r="X60" t="s">
        <v>424</v>
      </c>
      <c r="AG60" t="s">
        <v>40</v>
      </c>
    </row>
    <row r="61" spans="1:33" x14ac:dyDescent="0.2">
      <c r="A61">
        <v>240</v>
      </c>
      <c r="B61" t="s">
        <v>580</v>
      </c>
      <c r="C61" t="s">
        <v>474</v>
      </c>
      <c r="D61" t="s">
        <v>736</v>
      </c>
      <c r="G61">
        <v>0</v>
      </c>
      <c r="H61">
        <v>0</v>
      </c>
      <c r="J61">
        <v>2.6848156005144119E-2</v>
      </c>
      <c r="K61">
        <v>2.542204596102238E-2</v>
      </c>
      <c r="L61">
        <v>0</v>
      </c>
      <c r="M61">
        <v>0</v>
      </c>
      <c r="U61">
        <v>5</v>
      </c>
      <c r="V61">
        <v>6</v>
      </c>
      <c r="W61" t="s">
        <v>582</v>
      </c>
      <c r="X61" t="s">
        <v>476</v>
      </c>
      <c r="AG61" t="s">
        <v>40</v>
      </c>
    </row>
    <row r="62" spans="1:33" x14ac:dyDescent="0.2">
      <c r="A62">
        <v>248</v>
      </c>
      <c r="B62" t="s">
        <v>663</v>
      </c>
      <c r="C62" t="s">
        <v>183</v>
      </c>
      <c r="D62" t="s">
        <v>736</v>
      </c>
      <c r="G62">
        <v>0</v>
      </c>
      <c r="H62">
        <v>0</v>
      </c>
      <c r="J62">
        <v>1.140929106622934E-2</v>
      </c>
      <c r="K62">
        <v>8.9801140129566193E-3</v>
      </c>
      <c r="L62">
        <v>0</v>
      </c>
      <c r="M62">
        <v>0</v>
      </c>
      <c r="U62">
        <v>6</v>
      </c>
      <c r="V62">
        <v>6</v>
      </c>
      <c r="W62" t="s">
        <v>669</v>
      </c>
      <c r="X62" t="s">
        <v>187</v>
      </c>
      <c r="AG62" t="s">
        <v>40</v>
      </c>
    </row>
    <row r="63" spans="1:33" x14ac:dyDescent="0.2">
      <c r="A63">
        <v>250</v>
      </c>
      <c r="B63" t="s">
        <v>683</v>
      </c>
      <c r="C63" t="s">
        <v>363</v>
      </c>
      <c r="D63" t="s">
        <v>736</v>
      </c>
      <c r="G63">
        <v>0</v>
      </c>
      <c r="H63">
        <v>0</v>
      </c>
      <c r="J63">
        <v>4.001762717962265E-2</v>
      </c>
      <c r="K63">
        <v>1.380000077188015E-2</v>
      </c>
      <c r="L63">
        <v>0</v>
      </c>
      <c r="M63">
        <v>0</v>
      </c>
      <c r="U63">
        <v>6</v>
      </c>
      <c r="V63">
        <v>5</v>
      </c>
      <c r="W63" t="s">
        <v>685</v>
      </c>
      <c r="X63" t="s">
        <v>739</v>
      </c>
      <c r="AG63" t="s">
        <v>40</v>
      </c>
    </row>
    <row r="64" spans="1:33" x14ac:dyDescent="0.2">
      <c r="A64">
        <v>251</v>
      </c>
      <c r="B64" t="s">
        <v>694</v>
      </c>
      <c r="C64" t="s">
        <v>207</v>
      </c>
      <c r="D64" t="s">
        <v>736</v>
      </c>
      <c r="G64">
        <v>0</v>
      </c>
      <c r="H64">
        <v>0</v>
      </c>
      <c r="J64">
        <v>2.4113813415169719E-2</v>
      </c>
      <c r="K64">
        <v>1.103947963565588E-2</v>
      </c>
      <c r="L64">
        <v>0</v>
      </c>
      <c r="M64">
        <v>0</v>
      </c>
      <c r="U64">
        <v>6</v>
      </c>
      <c r="V64">
        <v>5</v>
      </c>
      <c r="W64" t="s">
        <v>699</v>
      </c>
      <c r="X64" t="s">
        <v>213</v>
      </c>
      <c r="AG64" t="s">
        <v>40</v>
      </c>
    </row>
    <row r="65" spans="1:33" x14ac:dyDescent="0.2">
      <c r="A65">
        <v>252</v>
      </c>
      <c r="B65" t="s">
        <v>703</v>
      </c>
      <c r="C65" t="s">
        <v>653</v>
      </c>
      <c r="D65" t="s">
        <v>736</v>
      </c>
      <c r="G65">
        <v>0</v>
      </c>
      <c r="H65">
        <v>0</v>
      </c>
      <c r="J65">
        <v>2.6959376409649849E-2</v>
      </c>
      <c r="K65">
        <v>2.1298963576555249E-2</v>
      </c>
      <c r="L65">
        <v>0</v>
      </c>
      <c r="M65">
        <v>0</v>
      </c>
      <c r="U65">
        <v>4</v>
      </c>
      <c r="V65">
        <v>6</v>
      </c>
      <c r="W65" t="s">
        <v>704</v>
      </c>
      <c r="X65" t="s">
        <v>655</v>
      </c>
      <c r="AG65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5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1</v>
      </c>
      <c r="B2" t="s">
        <v>33</v>
      </c>
      <c r="C2" t="s">
        <v>41</v>
      </c>
      <c r="D2" t="s">
        <v>42</v>
      </c>
      <c r="E2" t="s">
        <v>36</v>
      </c>
      <c r="F2" t="s">
        <v>43</v>
      </c>
      <c r="G2">
        <v>0</v>
      </c>
      <c r="H2">
        <v>2.44284477084875E-2</v>
      </c>
      <c r="I2">
        <v>4.1379310190677601E-2</v>
      </c>
      <c r="J2">
        <v>4.0420185774564701E-2</v>
      </c>
      <c r="K2">
        <v>3.58935333788395E-2</v>
      </c>
      <c r="L2">
        <v>0</v>
      </c>
      <c r="M2">
        <v>3.54212474822998</v>
      </c>
      <c r="N2">
        <v>0.50352758169174205</v>
      </c>
      <c r="O2">
        <v>0.24596296250820199</v>
      </c>
      <c r="P2">
        <v>0.590354144573212</v>
      </c>
      <c r="Q2">
        <v>1</v>
      </c>
      <c r="R2" t="s">
        <v>38</v>
      </c>
      <c r="S2" t="s">
        <v>39</v>
      </c>
      <c r="T2">
        <v>1.35703673056859</v>
      </c>
      <c r="U2">
        <v>6</v>
      </c>
      <c r="V2">
        <v>5</v>
      </c>
      <c r="W2" t="s">
        <v>36</v>
      </c>
      <c r="X2" t="s">
        <v>43</v>
      </c>
      <c r="Y2">
        <v>0.84472524999999998</v>
      </c>
      <c r="Z2">
        <v>0.75654540000000003</v>
      </c>
      <c r="AA2">
        <v>0.80063534000000003</v>
      </c>
      <c r="AB2">
        <v>0.65735549999999998</v>
      </c>
      <c r="AC2">
        <v>0.47041208000000001</v>
      </c>
      <c r="AD2">
        <v>0.56388380000000005</v>
      </c>
      <c r="AG2" t="s">
        <v>44</v>
      </c>
    </row>
    <row r="3" spans="1:33" x14ac:dyDescent="0.2">
      <c r="A3">
        <v>3</v>
      </c>
      <c r="B3" t="s">
        <v>49</v>
      </c>
      <c r="C3" t="s">
        <v>50</v>
      </c>
      <c r="D3" t="s">
        <v>35</v>
      </c>
      <c r="E3" t="s">
        <v>51</v>
      </c>
      <c r="F3" t="s">
        <v>52</v>
      </c>
      <c r="G3">
        <v>0.112676054239273</v>
      </c>
      <c r="H3">
        <v>2.8717285022139601E-2</v>
      </c>
      <c r="I3">
        <v>0.115384615957737</v>
      </c>
      <c r="J3">
        <v>0.48553237318992598</v>
      </c>
      <c r="K3">
        <v>0.29709589481353799</v>
      </c>
      <c r="L3">
        <v>24</v>
      </c>
      <c r="M3">
        <v>3.33120512962341</v>
      </c>
      <c r="N3">
        <v>0.33789968490600603</v>
      </c>
      <c r="O3">
        <v>0.239414602518082</v>
      </c>
      <c r="P3">
        <v>0.211244031786919</v>
      </c>
      <c r="Q3">
        <v>1</v>
      </c>
      <c r="R3" t="s">
        <v>53</v>
      </c>
      <c r="S3" t="s">
        <v>39</v>
      </c>
      <c r="T3">
        <v>0.90081483298117404</v>
      </c>
      <c r="U3">
        <v>5</v>
      </c>
      <c r="V3">
        <v>6</v>
      </c>
      <c r="W3" t="s">
        <v>54</v>
      </c>
      <c r="X3" t="s">
        <v>52</v>
      </c>
      <c r="Y3">
        <v>0.71909500000000004</v>
      </c>
      <c r="Z3">
        <v>0.75232889999999997</v>
      </c>
      <c r="AA3">
        <v>0.73571193000000001</v>
      </c>
      <c r="AB3">
        <v>0.53721940000000001</v>
      </c>
      <c r="AC3">
        <v>0.14404661999999999</v>
      </c>
      <c r="AD3">
        <v>0.34063300000000002</v>
      </c>
      <c r="AG3" t="s">
        <v>44</v>
      </c>
    </row>
    <row r="4" spans="1:33" x14ac:dyDescent="0.2">
      <c r="A4">
        <v>11</v>
      </c>
      <c r="B4" t="s">
        <v>77</v>
      </c>
      <c r="C4" t="s">
        <v>88</v>
      </c>
      <c r="D4" t="s">
        <v>46</v>
      </c>
      <c r="G4">
        <v>4.2452830821275697E-2</v>
      </c>
      <c r="H4">
        <v>0</v>
      </c>
      <c r="J4">
        <v>0.186617642641068</v>
      </c>
      <c r="K4">
        <v>1.1796684935689E-2</v>
      </c>
      <c r="L4">
        <v>9</v>
      </c>
      <c r="M4">
        <v>0</v>
      </c>
      <c r="T4">
        <v>0.91504095529577401</v>
      </c>
      <c r="U4">
        <v>4</v>
      </c>
      <c r="V4">
        <v>4</v>
      </c>
      <c r="W4" t="s">
        <v>82</v>
      </c>
      <c r="X4" t="s">
        <v>89</v>
      </c>
      <c r="Y4">
        <v>0.76060282999999995</v>
      </c>
      <c r="Z4">
        <v>0.65861016999999999</v>
      </c>
      <c r="AA4">
        <v>0.70960650000000003</v>
      </c>
      <c r="AB4">
        <v>0.30838486999999998</v>
      </c>
      <c r="AC4">
        <v>0.54323399999999999</v>
      </c>
      <c r="AD4">
        <v>0.42580943999999998</v>
      </c>
      <c r="AG4" t="s">
        <v>44</v>
      </c>
    </row>
    <row r="5" spans="1:33" x14ac:dyDescent="0.2">
      <c r="A5">
        <v>13</v>
      </c>
      <c r="B5" t="s">
        <v>90</v>
      </c>
      <c r="C5" t="s">
        <v>96</v>
      </c>
      <c r="D5" t="s">
        <v>42</v>
      </c>
      <c r="E5" t="s">
        <v>92</v>
      </c>
      <c r="F5" t="s">
        <v>97</v>
      </c>
      <c r="G5">
        <v>0</v>
      </c>
      <c r="H5">
        <v>1.2401157990098E-2</v>
      </c>
      <c r="I5">
        <v>3.20000015199184E-2</v>
      </c>
      <c r="J5">
        <v>9.0543171390891006E-3</v>
      </c>
      <c r="K5">
        <v>4.0962573140859597E-2</v>
      </c>
      <c r="L5">
        <v>0</v>
      </c>
      <c r="M5">
        <v>1.5501446723937999</v>
      </c>
      <c r="N5">
        <v>0.28886657953262301</v>
      </c>
      <c r="O5">
        <v>0.37566882371902499</v>
      </c>
      <c r="P5">
        <v>1</v>
      </c>
      <c r="Q5">
        <v>0.38753616809844998</v>
      </c>
      <c r="R5" t="s">
        <v>39</v>
      </c>
      <c r="S5" t="s">
        <v>98</v>
      </c>
      <c r="T5">
        <v>1.24109675335852</v>
      </c>
      <c r="U5">
        <v>5</v>
      </c>
      <c r="V5">
        <v>5</v>
      </c>
      <c r="W5" t="s">
        <v>92</v>
      </c>
      <c r="X5" t="s">
        <v>99</v>
      </c>
      <c r="Y5">
        <v>0.76177329999999999</v>
      </c>
      <c r="Z5">
        <v>0.74432622999999998</v>
      </c>
      <c r="AA5">
        <v>0.75304972999999997</v>
      </c>
      <c r="AB5">
        <v>0.66365932999999999</v>
      </c>
      <c r="AC5">
        <v>0.23645446000000001</v>
      </c>
      <c r="AD5">
        <v>0.45005689999999998</v>
      </c>
      <c r="AG5" t="s">
        <v>44</v>
      </c>
    </row>
    <row r="6" spans="1:33" x14ac:dyDescent="0.2">
      <c r="A6">
        <v>17</v>
      </c>
      <c r="B6" t="s">
        <v>104</v>
      </c>
      <c r="C6" t="s">
        <v>115</v>
      </c>
      <c r="D6" t="s">
        <v>46</v>
      </c>
      <c r="G6">
        <v>6.2992125749587999E-2</v>
      </c>
      <c r="H6">
        <v>0</v>
      </c>
      <c r="J6">
        <v>6.4128473401069599E-2</v>
      </c>
      <c r="K6">
        <v>1.7228454351425199E-2</v>
      </c>
      <c r="L6">
        <v>8</v>
      </c>
      <c r="M6">
        <v>0</v>
      </c>
      <c r="T6">
        <v>1.4424811986953101</v>
      </c>
      <c r="U6">
        <v>5</v>
      </c>
      <c r="V6">
        <v>5</v>
      </c>
      <c r="W6" t="s">
        <v>106</v>
      </c>
      <c r="X6" t="s">
        <v>116</v>
      </c>
      <c r="Y6">
        <v>0.78289162999999995</v>
      </c>
      <c r="Z6">
        <v>0.52951970000000004</v>
      </c>
      <c r="AA6">
        <v>0.65620564999999997</v>
      </c>
      <c r="AB6">
        <v>0.20434366000000001</v>
      </c>
      <c r="AC6">
        <v>5.1740978E-2</v>
      </c>
      <c r="AD6">
        <v>0.12804233000000001</v>
      </c>
      <c r="AG6" t="s">
        <v>44</v>
      </c>
    </row>
    <row r="7" spans="1:33" x14ac:dyDescent="0.2">
      <c r="A7">
        <v>18</v>
      </c>
      <c r="B7" t="s">
        <v>117</v>
      </c>
      <c r="C7" t="s">
        <v>118</v>
      </c>
      <c r="D7" t="s">
        <v>35</v>
      </c>
      <c r="E7" t="s">
        <v>119</v>
      </c>
      <c r="F7" t="s">
        <v>120</v>
      </c>
      <c r="G7">
        <v>3.0864197760820399E-2</v>
      </c>
      <c r="H7">
        <v>1.08102830126882E-2</v>
      </c>
      <c r="I7">
        <v>9.2592589557170896E-2</v>
      </c>
      <c r="J7">
        <v>0.16155199706554399</v>
      </c>
      <c r="K7">
        <v>9.9980957806110396E-2</v>
      </c>
      <c r="L7">
        <v>5</v>
      </c>
      <c r="M7">
        <v>1.1675107479095499</v>
      </c>
      <c r="N7">
        <v>0.39670142531394997</v>
      </c>
      <c r="O7">
        <v>0.29363948106765703</v>
      </c>
      <c r="P7">
        <v>0.15903799235820801</v>
      </c>
      <c r="Q7">
        <v>0.73410803079605103</v>
      </c>
      <c r="R7" t="s">
        <v>121</v>
      </c>
      <c r="S7" t="s">
        <v>122</v>
      </c>
      <c r="T7">
        <v>1.3195349259653599</v>
      </c>
      <c r="U7">
        <v>6</v>
      </c>
      <c r="V7">
        <v>5</v>
      </c>
      <c r="W7" t="s">
        <v>123</v>
      </c>
      <c r="X7" t="s">
        <v>120</v>
      </c>
      <c r="Y7">
        <v>0.6317142</v>
      </c>
      <c r="Z7">
        <v>0.70150889999999999</v>
      </c>
      <c r="AA7">
        <v>0.66661155000000005</v>
      </c>
      <c r="AB7">
        <v>0.21258223000000001</v>
      </c>
      <c r="AC7">
        <v>0.25638013999999998</v>
      </c>
      <c r="AD7">
        <v>0.23448119000000001</v>
      </c>
      <c r="AG7" t="s">
        <v>44</v>
      </c>
    </row>
    <row r="8" spans="1:33" x14ac:dyDescent="0.2">
      <c r="A8">
        <v>23</v>
      </c>
      <c r="B8" t="s">
        <v>131</v>
      </c>
      <c r="C8" t="s">
        <v>140</v>
      </c>
      <c r="D8" t="s">
        <v>46</v>
      </c>
      <c r="G8">
        <v>2.1621622145175899E-2</v>
      </c>
      <c r="H8">
        <v>0</v>
      </c>
      <c r="J8">
        <v>0.200916588306427</v>
      </c>
      <c r="K8">
        <v>1.7433334141969702E-2</v>
      </c>
      <c r="L8">
        <v>4</v>
      </c>
      <c r="M8">
        <v>0</v>
      </c>
      <c r="T8">
        <v>1.3416863579321801</v>
      </c>
      <c r="U8">
        <v>5</v>
      </c>
      <c r="V8">
        <v>5</v>
      </c>
      <c r="W8" t="s">
        <v>136</v>
      </c>
      <c r="X8" t="s">
        <v>141</v>
      </c>
      <c r="Y8">
        <v>0.741537</v>
      </c>
      <c r="Z8">
        <v>0.54637080000000005</v>
      </c>
      <c r="AA8">
        <v>0.64395389999999997</v>
      </c>
      <c r="AB8">
        <v>0.22103650999999999</v>
      </c>
      <c r="AC8">
        <v>0.17130128</v>
      </c>
      <c r="AD8">
        <v>0.19616890000000001</v>
      </c>
      <c r="AG8" t="s">
        <v>44</v>
      </c>
    </row>
    <row r="9" spans="1:33" x14ac:dyDescent="0.2">
      <c r="A9">
        <v>30</v>
      </c>
      <c r="B9" t="s">
        <v>168</v>
      </c>
      <c r="C9" t="s">
        <v>169</v>
      </c>
      <c r="D9" t="s">
        <v>35</v>
      </c>
      <c r="E9" t="s">
        <v>170</v>
      </c>
      <c r="F9" t="s">
        <v>171</v>
      </c>
      <c r="G9">
        <v>5.3435113281011602E-2</v>
      </c>
      <c r="H9">
        <v>1.3135694898665E-2</v>
      </c>
      <c r="I9">
        <v>4.5871559530496597E-2</v>
      </c>
      <c r="J9">
        <v>0.32934501767158503</v>
      </c>
      <c r="K9">
        <v>0.17241623997688299</v>
      </c>
      <c r="L9">
        <v>7</v>
      </c>
      <c r="M9">
        <v>1.43179070949554</v>
      </c>
      <c r="N9">
        <v>0.64317333698272705</v>
      </c>
      <c r="O9">
        <v>0.48738691210746798</v>
      </c>
      <c r="P9">
        <v>0.5</v>
      </c>
      <c r="Q9">
        <v>0.57271629571914695</v>
      </c>
      <c r="R9" t="s">
        <v>172</v>
      </c>
      <c r="S9" t="s">
        <v>173</v>
      </c>
      <c r="T9">
        <v>1.1835144178330299</v>
      </c>
      <c r="U9">
        <v>6</v>
      </c>
      <c r="V9">
        <v>8</v>
      </c>
      <c r="W9" t="s">
        <v>174</v>
      </c>
      <c r="X9" t="s">
        <v>171</v>
      </c>
      <c r="Y9">
        <v>0.79228889999999996</v>
      </c>
      <c r="Z9">
        <v>0.77999189999999996</v>
      </c>
      <c r="AA9">
        <v>0.78614044000000005</v>
      </c>
      <c r="AB9">
        <v>9.7811274000000004E-2</v>
      </c>
      <c r="AC9">
        <v>0.22926067999999999</v>
      </c>
      <c r="AD9">
        <v>0.16353598</v>
      </c>
      <c r="AG9" t="s">
        <v>44</v>
      </c>
    </row>
    <row r="10" spans="1:33" x14ac:dyDescent="0.2">
      <c r="A10">
        <v>33</v>
      </c>
      <c r="B10" t="s">
        <v>182</v>
      </c>
      <c r="C10" t="s">
        <v>183</v>
      </c>
      <c r="D10" t="s">
        <v>35</v>
      </c>
      <c r="E10" t="s">
        <v>184</v>
      </c>
      <c r="F10" t="s">
        <v>185</v>
      </c>
      <c r="G10">
        <v>5.5276382714509999E-2</v>
      </c>
      <c r="H10">
        <v>2.06970851868391E-2</v>
      </c>
      <c r="I10">
        <v>8.1395350396633204E-2</v>
      </c>
      <c r="J10">
        <v>0.368356794118881</v>
      </c>
      <c r="K10">
        <v>0.172705948352814</v>
      </c>
      <c r="L10">
        <v>11</v>
      </c>
      <c r="M10">
        <v>1.7799494266510001</v>
      </c>
      <c r="N10">
        <v>0.486898154020309</v>
      </c>
      <c r="O10">
        <v>0.484443068504334</v>
      </c>
      <c r="P10">
        <v>1</v>
      </c>
      <c r="Q10">
        <v>0.25427848100662198</v>
      </c>
      <c r="R10" t="s">
        <v>39</v>
      </c>
      <c r="S10" t="s">
        <v>186</v>
      </c>
      <c r="T10">
        <v>0.90734396224569502</v>
      </c>
      <c r="U10">
        <v>6</v>
      </c>
      <c r="V10">
        <v>6</v>
      </c>
      <c r="W10" t="s">
        <v>184</v>
      </c>
      <c r="X10" t="s">
        <v>187</v>
      </c>
      <c r="Y10">
        <v>0.7808657</v>
      </c>
      <c r="Z10">
        <v>0.70733190000000001</v>
      </c>
      <c r="AA10">
        <v>0.74409879999999995</v>
      </c>
      <c r="AB10">
        <v>0.24590074000000001</v>
      </c>
      <c r="AC10">
        <v>0.66647650000000003</v>
      </c>
      <c r="AD10">
        <v>0.45618861999999999</v>
      </c>
      <c r="AG10" t="s">
        <v>44</v>
      </c>
    </row>
    <row r="11" spans="1:33" x14ac:dyDescent="0.2">
      <c r="A11">
        <v>37</v>
      </c>
      <c r="B11" t="s">
        <v>192</v>
      </c>
      <c r="C11" t="s">
        <v>200</v>
      </c>
      <c r="D11" t="s">
        <v>42</v>
      </c>
      <c r="E11" t="s">
        <v>198</v>
      </c>
      <c r="F11" t="s">
        <v>201</v>
      </c>
      <c r="G11">
        <v>0</v>
      </c>
      <c r="H11">
        <v>1.39673938974738E-2</v>
      </c>
      <c r="I11">
        <v>4.4943820685148198E-2</v>
      </c>
      <c r="J11">
        <v>4.2959898710250903E-2</v>
      </c>
      <c r="K11">
        <v>9.2051409184932695E-2</v>
      </c>
      <c r="L11">
        <v>0</v>
      </c>
      <c r="M11">
        <v>1.24309802055359</v>
      </c>
      <c r="N11">
        <v>0.56580322980880704</v>
      </c>
      <c r="O11">
        <v>0.246595963835716</v>
      </c>
      <c r="P11">
        <v>0.67347180843353305</v>
      </c>
      <c r="Q11">
        <v>0.46145141124725297</v>
      </c>
      <c r="R11" t="s">
        <v>202</v>
      </c>
      <c r="S11" t="s">
        <v>203</v>
      </c>
      <c r="T11">
        <v>0.68775901847874299</v>
      </c>
      <c r="U11">
        <v>4</v>
      </c>
      <c r="V11">
        <v>5</v>
      </c>
      <c r="W11" t="s">
        <v>198</v>
      </c>
      <c r="X11" t="s">
        <v>201</v>
      </c>
      <c r="Y11">
        <v>0.69735515000000003</v>
      </c>
      <c r="Z11">
        <v>0.68003773999999995</v>
      </c>
      <c r="AA11">
        <v>0.68869643999999997</v>
      </c>
      <c r="AB11">
        <v>0.19988122999999999</v>
      </c>
      <c r="AC11">
        <v>8.1686060000000005E-2</v>
      </c>
      <c r="AD11">
        <v>0.14078363999999999</v>
      </c>
      <c r="AG11" t="s">
        <v>44</v>
      </c>
    </row>
    <row r="12" spans="1:33" x14ac:dyDescent="0.2">
      <c r="A12">
        <v>41</v>
      </c>
      <c r="B12" t="s">
        <v>206</v>
      </c>
      <c r="C12" t="s">
        <v>217</v>
      </c>
      <c r="D12" t="s">
        <v>46</v>
      </c>
      <c r="G12">
        <v>8.9473687112331404E-2</v>
      </c>
      <c r="H12">
        <v>0</v>
      </c>
      <c r="J12">
        <v>0.376652091741562</v>
      </c>
      <c r="K12">
        <v>2.7146803215146099E-2</v>
      </c>
      <c r="L12">
        <v>17</v>
      </c>
      <c r="M12">
        <v>0</v>
      </c>
      <c r="T12">
        <v>0.32152653857651797</v>
      </c>
      <c r="U12">
        <v>4</v>
      </c>
      <c r="V12">
        <v>4</v>
      </c>
      <c r="W12" t="s">
        <v>212</v>
      </c>
      <c r="X12" t="s">
        <v>218</v>
      </c>
      <c r="Y12">
        <v>0.64058990000000005</v>
      </c>
      <c r="Z12">
        <v>0.85648559999999996</v>
      </c>
      <c r="AA12">
        <v>0.74853780000000003</v>
      </c>
      <c r="AB12">
        <v>0.25464034000000002</v>
      </c>
      <c r="AC12">
        <v>0.54908820000000003</v>
      </c>
      <c r="AD12">
        <v>0.40186425999999997</v>
      </c>
      <c r="AG12" t="s">
        <v>44</v>
      </c>
    </row>
    <row r="13" spans="1:33" x14ac:dyDescent="0.2">
      <c r="A13">
        <v>44</v>
      </c>
      <c r="B13" t="s">
        <v>219</v>
      </c>
      <c r="C13" t="s">
        <v>225</v>
      </c>
      <c r="D13" t="s">
        <v>46</v>
      </c>
      <c r="G13">
        <v>1.52284260839224E-2</v>
      </c>
      <c r="H13">
        <v>0</v>
      </c>
      <c r="J13">
        <v>0.15411540865898099</v>
      </c>
      <c r="K13">
        <v>2.3046188056468998E-2</v>
      </c>
      <c r="L13">
        <v>3</v>
      </c>
      <c r="M13">
        <v>0</v>
      </c>
      <c r="T13">
        <v>1.42702348906244</v>
      </c>
      <c r="U13">
        <v>5</v>
      </c>
      <c r="V13">
        <v>5</v>
      </c>
      <c r="W13" t="s">
        <v>221</v>
      </c>
      <c r="X13" t="s">
        <v>226</v>
      </c>
      <c r="Y13">
        <v>0.76855430000000002</v>
      </c>
      <c r="Z13">
        <v>0.67404330000000001</v>
      </c>
      <c r="AA13">
        <v>0.72129880000000002</v>
      </c>
      <c r="AB13">
        <v>0.2512124</v>
      </c>
      <c r="AC13">
        <v>0.26643600000000001</v>
      </c>
      <c r="AD13">
        <v>0.2588242</v>
      </c>
      <c r="AG13" t="s">
        <v>44</v>
      </c>
    </row>
    <row r="14" spans="1:33" x14ac:dyDescent="0.2">
      <c r="A14">
        <v>45</v>
      </c>
      <c r="B14" t="s">
        <v>227</v>
      </c>
      <c r="C14" t="s">
        <v>228</v>
      </c>
      <c r="D14" t="s">
        <v>35</v>
      </c>
      <c r="E14" t="s">
        <v>229</v>
      </c>
      <c r="F14" t="s">
        <v>230</v>
      </c>
      <c r="G14">
        <v>2.5862069800496101E-2</v>
      </c>
      <c r="H14">
        <v>1.35000329464674E-2</v>
      </c>
      <c r="I14">
        <v>6.9767445325851399E-2</v>
      </c>
      <c r="J14">
        <v>7.5140193104743999E-2</v>
      </c>
      <c r="K14">
        <v>3.6261986941099202E-2</v>
      </c>
      <c r="L14">
        <v>3</v>
      </c>
      <c r="M14">
        <v>1.1610027551651001</v>
      </c>
      <c r="N14">
        <v>0.46412014961242698</v>
      </c>
      <c r="O14">
        <v>0.54943203926086404</v>
      </c>
      <c r="P14">
        <v>0.389893859624863</v>
      </c>
      <c r="Q14">
        <v>0.49629011750221302</v>
      </c>
      <c r="R14" t="s">
        <v>231</v>
      </c>
      <c r="S14" t="s">
        <v>232</v>
      </c>
      <c r="T14">
        <v>0.71738140688553698</v>
      </c>
      <c r="U14">
        <v>5</v>
      </c>
      <c r="V14">
        <v>5</v>
      </c>
      <c r="W14" t="s">
        <v>229</v>
      </c>
      <c r="X14" t="s">
        <v>233</v>
      </c>
      <c r="Y14">
        <v>0.75537825000000003</v>
      </c>
      <c r="Z14">
        <v>0.77567595</v>
      </c>
      <c r="AA14">
        <v>0.76552710000000002</v>
      </c>
      <c r="AB14">
        <v>0.26593341999999998</v>
      </c>
      <c r="AC14">
        <v>0.32191510000000001</v>
      </c>
      <c r="AD14">
        <v>0.29392426999999999</v>
      </c>
      <c r="AG14" t="s">
        <v>44</v>
      </c>
    </row>
    <row r="15" spans="1:33" x14ac:dyDescent="0.2">
      <c r="A15">
        <v>49</v>
      </c>
      <c r="B15" t="s">
        <v>238</v>
      </c>
      <c r="C15" t="s">
        <v>244</v>
      </c>
      <c r="D15" t="s">
        <v>42</v>
      </c>
      <c r="E15" t="s">
        <v>245</v>
      </c>
      <c r="F15" t="s">
        <v>246</v>
      </c>
      <c r="G15">
        <v>0</v>
      </c>
      <c r="H15">
        <v>8.4872217848896998E-3</v>
      </c>
      <c r="I15">
        <v>0.114754095673561</v>
      </c>
      <c r="J15">
        <v>3.0409127473831201E-2</v>
      </c>
      <c r="K15">
        <v>1.49113973602653E-2</v>
      </c>
      <c r="L15">
        <v>0</v>
      </c>
      <c r="M15">
        <v>1.0354410409927399</v>
      </c>
      <c r="N15">
        <v>0.27155750989913902</v>
      </c>
      <c r="O15">
        <v>0.21378029882907901</v>
      </c>
      <c r="P15">
        <v>0.5</v>
      </c>
      <c r="Q15">
        <v>0.147920146584511</v>
      </c>
      <c r="R15" t="s">
        <v>247</v>
      </c>
      <c r="S15" t="s">
        <v>248</v>
      </c>
      <c r="T15">
        <v>1.1813224017639601</v>
      </c>
      <c r="U15">
        <v>5</v>
      </c>
      <c r="V15">
        <v>6</v>
      </c>
      <c r="W15" t="s">
        <v>240</v>
      </c>
      <c r="X15" t="s">
        <v>249</v>
      </c>
      <c r="Y15">
        <v>0.77052580000000004</v>
      </c>
      <c r="Z15">
        <v>0.68898064000000003</v>
      </c>
      <c r="AA15">
        <v>0.72975325999999996</v>
      </c>
      <c r="AB15">
        <v>0.5171616</v>
      </c>
      <c r="AC15">
        <v>0.26682115000000001</v>
      </c>
      <c r="AD15">
        <v>0.39199138</v>
      </c>
      <c r="AF15" t="s">
        <v>162</v>
      </c>
      <c r="AG15" t="s">
        <v>44</v>
      </c>
    </row>
    <row r="16" spans="1:33" x14ac:dyDescent="0.2">
      <c r="A16">
        <v>51</v>
      </c>
      <c r="B16" t="s">
        <v>252</v>
      </c>
      <c r="C16" t="s">
        <v>253</v>
      </c>
      <c r="D16" t="s">
        <v>35</v>
      </c>
      <c r="E16" t="s">
        <v>254</v>
      </c>
      <c r="F16" t="s">
        <v>255</v>
      </c>
      <c r="G16">
        <v>1.91082805395126E-2</v>
      </c>
      <c r="H16">
        <v>1.32743362337351E-2</v>
      </c>
      <c r="I16">
        <v>2.6548672467470169E-2</v>
      </c>
      <c r="J16">
        <v>0.23141302168369299</v>
      </c>
      <c r="K16">
        <v>0.15000000596046401</v>
      </c>
      <c r="L16">
        <v>3</v>
      </c>
      <c r="M16">
        <v>1.5</v>
      </c>
      <c r="N16">
        <v>0.61777639389038097</v>
      </c>
      <c r="O16">
        <v>0.60363894701003995</v>
      </c>
      <c r="P16">
        <v>0.5</v>
      </c>
      <c r="Q16">
        <v>1</v>
      </c>
      <c r="R16" t="s">
        <v>256</v>
      </c>
      <c r="S16" t="s">
        <v>39</v>
      </c>
      <c r="T16">
        <v>1.35023611617007</v>
      </c>
      <c r="U16">
        <v>4</v>
      </c>
      <c r="V16">
        <v>6</v>
      </c>
      <c r="W16" t="s">
        <v>254</v>
      </c>
      <c r="X16" t="s">
        <v>255</v>
      </c>
      <c r="Y16">
        <v>0.84434620000000005</v>
      </c>
      <c r="Z16">
        <v>0.81132780000000004</v>
      </c>
      <c r="AA16">
        <v>0.82783700000000005</v>
      </c>
      <c r="AB16">
        <v>0.17669687000000001</v>
      </c>
      <c r="AC16">
        <v>0.65508109999999997</v>
      </c>
      <c r="AD16">
        <v>0.41588897000000002</v>
      </c>
      <c r="AE16" t="s">
        <v>72</v>
      </c>
      <c r="AF16" t="s">
        <v>76</v>
      </c>
      <c r="AG16" t="s">
        <v>44</v>
      </c>
    </row>
    <row r="17" spans="1:33" x14ac:dyDescent="0.2">
      <c r="A17">
        <v>56</v>
      </c>
      <c r="B17" t="s">
        <v>264</v>
      </c>
      <c r="C17" t="s">
        <v>271</v>
      </c>
      <c r="D17" t="s">
        <v>46</v>
      </c>
      <c r="G17">
        <v>1.34529145434499E-2</v>
      </c>
      <c r="H17">
        <v>0</v>
      </c>
      <c r="J17">
        <v>0.107624627649784</v>
      </c>
      <c r="K17">
        <v>2.07448527216911E-2</v>
      </c>
      <c r="L17">
        <v>3</v>
      </c>
      <c r="M17">
        <v>0</v>
      </c>
      <c r="T17">
        <v>1.1529444802170901</v>
      </c>
      <c r="U17">
        <v>6</v>
      </c>
      <c r="V17">
        <v>6</v>
      </c>
      <c r="W17" t="s">
        <v>266</v>
      </c>
      <c r="X17" t="s">
        <v>272</v>
      </c>
      <c r="Y17">
        <v>0.80333600000000005</v>
      </c>
      <c r="Z17">
        <v>0.73900880000000002</v>
      </c>
      <c r="AA17">
        <v>0.77117239999999998</v>
      </c>
      <c r="AB17">
        <v>0.56588229999999995</v>
      </c>
      <c r="AC17">
        <v>0.29183485999999997</v>
      </c>
      <c r="AD17">
        <v>0.42885857999999999</v>
      </c>
      <c r="AG17" t="s">
        <v>44</v>
      </c>
    </row>
    <row r="18" spans="1:33" x14ac:dyDescent="0.2">
      <c r="A18">
        <v>59</v>
      </c>
      <c r="B18" t="s">
        <v>273</v>
      </c>
      <c r="C18" t="s">
        <v>284</v>
      </c>
      <c r="D18" t="s">
        <v>46</v>
      </c>
      <c r="G18">
        <v>2.42718439549208E-2</v>
      </c>
      <c r="H18">
        <v>0</v>
      </c>
      <c r="J18">
        <v>6.0788255184888798E-2</v>
      </c>
      <c r="K18">
        <v>1.0399831458926201E-2</v>
      </c>
      <c r="L18">
        <v>5</v>
      </c>
      <c r="M18">
        <v>0</v>
      </c>
      <c r="T18">
        <v>1.35825996641987</v>
      </c>
      <c r="U18">
        <v>6</v>
      </c>
      <c r="V18">
        <v>7</v>
      </c>
      <c r="W18" t="s">
        <v>279</v>
      </c>
      <c r="X18" t="s">
        <v>285</v>
      </c>
      <c r="Y18">
        <v>0.70937240000000001</v>
      </c>
      <c r="Z18">
        <v>0.73091569999999995</v>
      </c>
      <c r="AA18">
        <v>0.72014403000000005</v>
      </c>
      <c r="AB18">
        <v>0.14263940999999999</v>
      </c>
      <c r="AC18">
        <v>0.38580989999999998</v>
      </c>
      <c r="AD18">
        <v>0.26422465000000001</v>
      </c>
      <c r="AE18" t="s">
        <v>72</v>
      </c>
      <c r="AF18" t="s">
        <v>76</v>
      </c>
      <c r="AG18" t="s">
        <v>44</v>
      </c>
    </row>
    <row r="19" spans="1:33" x14ac:dyDescent="0.2">
      <c r="A19">
        <v>61</v>
      </c>
      <c r="B19" t="s">
        <v>286</v>
      </c>
      <c r="C19" t="s">
        <v>291</v>
      </c>
      <c r="D19" t="s">
        <v>42</v>
      </c>
      <c r="E19" t="s">
        <v>292</v>
      </c>
      <c r="F19" t="s">
        <v>293</v>
      </c>
      <c r="G19">
        <v>0</v>
      </c>
      <c r="H19">
        <v>3.4749269485473598E-2</v>
      </c>
      <c r="I19">
        <v>0.104477614164352</v>
      </c>
      <c r="J19">
        <v>2.15703062713146E-2</v>
      </c>
      <c r="K19">
        <v>7.4103310704231304E-2</v>
      </c>
      <c r="L19">
        <v>0</v>
      </c>
      <c r="M19">
        <v>2.3282008171081499</v>
      </c>
      <c r="N19">
        <v>0.480553418397903</v>
      </c>
      <c r="O19">
        <v>0.43689063191413902</v>
      </c>
      <c r="P19">
        <v>0.41144788265228299</v>
      </c>
      <c r="Q19">
        <v>0.80836516618728604</v>
      </c>
      <c r="R19" t="s">
        <v>294</v>
      </c>
      <c r="S19" t="s">
        <v>295</v>
      </c>
      <c r="T19">
        <v>0.64622896738404501</v>
      </c>
      <c r="U19">
        <v>4</v>
      </c>
      <c r="V19">
        <v>3</v>
      </c>
      <c r="W19" t="s">
        <v>288</v>
      </c>
      <c r="X19" t="s">
        <v>293</v>
      </c>
      <c r="Y19">
        <v>0.76560589999999995</v>
      </c>
      <c r="Z19">
        <v>0.73983412999999998</v>
      </c>
      <c r="AA19">
        <v>0.75271999999999994</v>
      </c>
      <c r="AB19">
        <v>0.11914565000000001</v>
      </c>
      <c r="AC19">
        <v>0.23999403</v>
      </c>
      <c r="AD19">
        <v>0.17956984000000001</v>
      </c>
      <c r="AG19" t="s">
        <v>44</v>
      </c>
    </row>
    <row r="20" spans="1:33" x14ac:dyDescent="0.2">
      <c r="A20">
        <v>63</v>
      </c>
      <c r="B20" t="s">
        <v>298</v>
      </c>
      <c r="C20" t="s">
        <v>299</v>
      </c>
      <c r="D20" t="s">
        <v>35</v>
      </c>
      <c r="E20" t="s">
        <v>300</v>
      </c>
      <c r="F20" t="s">
        <v>301</v>
      </c>
      <c r="G20">
        <v>0.19918699562549599</v>
      </c>
      <c r="H20">
        <v>2.3364486172795299E-2</v>
      </c>
      <c r="I20">
        <v>4.6728972345590598E-2</v>
      </c>
      <c r="J20">
        <v>0.188165739178658</v>
      </c>
      <c r="K20">
        <v>0.110500000417233</v>
      </c>
      <c r="L20">
        <v>49</v>
      </c>
      <c r="M20">
        <v>2.5</v>
      </c>
      <c r="N20">
        <v>0.57215112447738703</v>
      </c>
      <c r="O20">
        <v>0.38017326593399098</v>
      </c>
      <c r="P20">
        <v>1</v>
      </c>
      <c r="Q20">
        <v>0.5</v>
      </c>
      <c r="R20" t="s">
        <v>39</v>
      </c>
      <c r="S20" t="s">
        <v>302</v>
      </c>
      <c r="T20">
        <v>0.76437218147235697</v>
      </c>
      <c r="U20">
        <v>4</v>
      </c>
      <c r="V20">
        <v>4</v>
      </c>
      <c r="W20" t="s">
        <v>300</v>
      </c>
      <c r="X20" t="s">
        <v>301</v>
      </c>
      <c r="Y20">
        <v>0.82606906000000002</v>
      </c>
      <c r="Z20">
        <v>0.81527954000000002</v>
      </c>
      <c r="AA20">
        <v>0.82067429999999997</v>
      </c>
      <c r="AB20">
        <v>0.42394557999999999</v>
      </c>
      <c r="AC20">
        <v>0.55630504999999997</v>
      </c>
      <c r="AD20">
        <v>0.49012529999999999</v>
      </c>
      <c r="AG20" t="s">
        <v>44</v>
      </c>
    </row>
    <row r="21" spans="1:33" x14ac:dyDescent="0.2">
      <c r="A21">
        <v>67</v>
      </c>
      <c r="B21" t="s">
        <v>309</v>
      </c>
      <c r="C21" t="s">
        <v>315</v>
      </c>
      <c r="D21" t="s">
        <v>42</v>
      </c>
      <c r="E21" t="s">
        <v>311</v>
      </c>
      <c r="F21" t="s">
        <v>316</v>
      </c>
      <c r="G21">
        <v>0</v>
      </c>
      <c r="H21">
        <v>2.41935476660728E-2</v>
      </c>
      <c r="I21">
        <v>2.41935476660728E-2</v>
      </c>
      <c r="J21">
        <v>6.5059028565883595E-2</v>
      </c>
      <c r="K21">
        <v>6.2199998646974598E-2</v>
      </c>
      <c r="L21">
        <v>0</v>
      </c>
      <c r="M21">
        <v>3</v>
      </c>
      <c r="N21">
        <v>0.576898813247681</v>
      </c>
      <c r="O21">
        <v>0.32231751084327698</v>
      </c>
      <c r="P21">
        <v>1</v>
      </c>
      <c r="Q21">
        <v>1</v>
      </c>
      <c r="R21" t="s">
        <v>39</v>
      </c>
      <c r="S21" t="s">
        <v>39</v>
      </c>
      <c r="T21">
        <v>1.1791031828279199</v>
      </c>
      <c r="U21">
        <v>5</v>
      </c>
      <c r="V21">
        <v>7</v>
      </c>
      <c r="W21" t="s">
        <v>311</v>
      </c>
      <c r="X21" t="s">
        <v>316</v>
      </c>
      <c r="Y21">
        <v>0.65544170000000002</v>
      </c>
      <c r="Z21">
        <v>0.73535530000000005</v>
      </c>
      <c r="AA21">
        <v>0.69539850000000003</v>
      </c>
      <c r="AB21">
        <v>0.31645395999999998</v>
      </c>
      <c r="AC21">
        <v>0.56864309999999996</v>
      </c>
      <c r="AD21">
        <v>0.44254850000000001</v>
      </c>
      <c r="AF21" t="s">
        <v>317</v>
      </c>
      <c r="AG21" t="s">
        <v>44</v>
      </c>
    </row>
    <row r="22" spans="1:33" x14ac:dyDescent="0.2">
      <c r="A22">
        <v>69</v>
      </c>
      <c r="B22" t="s">
        <v>320</v>
      </c>
      <c r="C22" t="s">
        <v>321</v>
      </c>
      <c r="D22" t="s">
        <v>35</v>
      </c>
      <c r="E22" t="s">
        <v>322</v>
      </c>
      <c r="F22" t="s">
        <v>323</v>
      </c>
      <c r="G22">
        <v>0.125683054327965</v>
      </c>
      <c r="H22">
        <v>7.23898410797119E-2</v>
      </c>
      <c r="I22">
        <v>0.215909093618393</v>
      </c>
      <c r="J22">
        <v>0.47723987698554998</v>
      </c>
      <c r="K22">
        <v>0.31886652112007102</v>
      </c>
      <c r="L22">
        <v>23</v>
      </c>
      <c r="M22">
        <v>6.3703060150146502</v>
      </c>
      <c r="N22">
        <v>0.58378058671951305</v>
      </c>
      <c r="O22">
        <v>0.56224656105041504</v>
      </c>
      <c r="P22">
        <v>1</v>
      </c>
      <c r="Q22">
        <v>0.33527925610542297</v>
      </c>
      <c r="R22" t="s">
        <v>39</v>
      </c>
      <c r="S22" t="s">
        <v>324</v>
      </c>
      <c r="T22">
        <v>1.4782714711335201</v>
      </c>
      <c r="U22">
        <v>4</v>
      </c>
      <c r="V22">
        <v>4</v>
      </c>
      <c r="W22" t="s">
        <v>322</v>
      </c>
      <c r="X22" t="s">
        <v>325</v>
      </c>
      <c r="Y22">
        <v>0.79896330000000004</v>
      </c>
      <c r="Z22">
        <v>0.82973105000000003</v>
      </c>
      <c r="AA22">
        <v>0.81434715000000002</v>
      </c>
      <c r="AB22">
        <v>0.23891924</v>
      </c>
      <c r="AC22">
        <v>0.23177429999999999</v>
      </c>
      <c r="AD22">
        <v>0.23534675999999999</v>
      </c>
      <c r="AG22" t="s">
        <v>44</v>
      </c>
    </row>
    <row r="23" spans="1:33" x14ac:dyDescent="0.2">
      <c r="A23">
        <v>74</v>
      </c>
      <c r="B23" t="s">
        <v>329</v>
      </c>
      <c r="C23" t="s">
        <v>339</v>
      </c>
      <c r="D23" t="s">
        <v>46</v>
      </c>
      <c r="G23">
        <v>7.0422537624835996E-2</v>
      </c>
      <c r="H23">
        <v>0</v>
      </c>
      <c r="J23">
        <v>0.25811558961868297</v>
      </c>
      <c r="K23">
        <v>5.7286778464913004E-3</v>
      </c>
      <c r="L23">
        <v>10</v>
      </c>
      <c r="M23">
        <v>0</v>
      </c>
      <c r="T23">
        <v>0.97768462076473295</v>
      </c>
      <c r="U23">
        <v>5</v>
      </c>
      <c r="V23">
        <v>3</v>
      </c>
      <c r="W23" t="s">
        <v>335</v>
      </c>
      <c r="X23" t="s">
        <v>340</v>
      </c>
      <c r="Y23">
        <v>0.57454590000000005</v>
      </c>
      <c r="Z23">
        <v>0.76774070000000005</v>
      </c>
      <c r="AA23">
        <v>0.6711433</v>
      </c>
      <c r="AB23">
        <v>9.7756410000000002E-2</v>
      </c>
      <c r="AC23">
        <v>0.27692820000000001</v>
      </c>
      <c r="AD23">
        <v>0.18734229999999999</v>
      </c>
      <c r="AG23" t="s">
        <v>44</v>
      </c>
    </row>
    <row r="24" spans="1:33" x14ac:dyDescent="0.2">
      <c r="A24">
        <v>85</v>
      </c>
      <c r="B24" t="s">
        <v>371</v>
      </c>
      <c r="C24" t="s">
        <v>274</v>
      </c>
      <c r="D24" t="s">
        <v>42</v>
      </c>
      <c r="E24" t="s">
        <v>373</v>
      </c>
      <c r="F24" t="s">
        <v>276</v>
      </c>
      <c r="G24">
        <v>0</v>
      </c>
      <c r="H24">
        <v>2.6238737627863901E-2</v>
      </c>
      <c r="I24">
        <v>6.4814813435077695E-2</v>
      </c>
      <c r="J24">
        <v>2.54822038114071E-2</v>
      </c>
      <c r="K24">
        <v>0.196300253272057</v>
      </c>
      <c r="L24">
        <v>0</v>
      </c>
      <c r="M24">
        <v>2.83378386497498</v>
      </c>
      <c r="N24">
        <v>0.26565241813659701</v>
      </c>
      <c r="O24">
        <v>0.34589976072311401</v>
      </c>
      <c r="P24">
        <v>1</v>
      </c>
      <c r="Q24">
        <v>0.40482625365257302</v>
      </c>
      <c r="R24" t="s">
        <v>39</v>
      </c>
      <c r="S24" t="s">
        <v>278</v>
      </c>
      <c r="T24">
        <v>1.1953414595104499</v>
      </c>
      <c r="U24">
        <v>6</v>
      </c>
      <c r="V24">
        <v>8</v>
      </c>
      <c r="W24" t="s">
        <v>373</v>
      </c>
      <c r="X24" t="s">
        <v>280</v>
      </c>
      <c r="Y24">
        <v>0.58154669999999997</v>
      </c>
      <c r="Z24">
        <v>0.62111985999999997</v>
      </c>
      <c r="AA24">
        <v>0.60133325999999998</v>
      </c>
      <c r="AB24">
        <v>0.73034673999999999</v>
      </c>
      <c r="AC24">
        <v>0.13152725000000001</v>
      </c>
      <c r="AD24">
        <v>0.43093700000000001</v>
      </c>
      <c r="AG24" t="s">
        <v>44</v>
      </c>
    </row>
    <row r="25" spans="1:33" x14ac:dyDescent="0.2">
      <c r="A25">
        <v>90</v>
      </c>
      <c r="B25" t="s">
        <v>385</v>
      </c>
      <c r="C25" t="s">
        <v>386</v>
      </c>
      <c r="D25" t="s">
        <v>35</v>
      </c>
      <c r="E25" t="s">
        <v>387</v>
      </c>
      <c r="F25" t="s">
        <v>388</v>
      </c>
      <c r="G25">
        <v>6.1855666339397403E-2</v>
      </c>
      <c r="H25">
        <v>3.8771558552980402E-2</v>
      </c>
      <c r="I25">
        <v>6.1855670064687701E-2</v>
      </c>
      <c r="J25">
        <v>0.342477947473526</v>
      </c>
      <c r="K25">
        <v>0.15889555215835599</v>
      </c>
      <c r="L25">
        <v>12</v>
      </c>
      <c r="M25">
        <v>3.7608413696289098</v>
      </c>
      <c r="N25">
        <v>0.310974210500717</v>
      </c>
      <c r="O25">
        <v>0.28491798043250999</v>
      </c>
      <c r="P25">
        <v>0.82929527759552002</v>
      </c>
      <c r="Q25">
        <v>0.75583076477050803</v>
      </c>
      <c r="R25" t="s">
        <v>389</v>
      </c>
      <c r="S25" t="s">
        <v>390</v>
      </c>
      <c r="T25">
        <v>0.183542576306198</v>
      </c>
      <c r="U25">
        <v>4</v>
      </c>
      <c r="V25">
        <v>4</v>
      </c>
      <c r="W25" t="s">
        <v>387</v>
      </c>
      <c r="X25" t="s">
        <v>388</v>
      </c>
      <c r="Y25">
        <v>0.65922373999999995</v>
      </c>
      <c r="Z25">
        <v>0.6691163</v>
      </c>
      <c r="AA25">
        <v>0.66417000000000004</v>
      </c>
      <c r="AB25">
        <v>0.22844301</v>
      </c>
      <c r="AC25">
        <v>5.3380552999999997E-2</v>
      </c>
      <c r="AD25">
        <v>0.14091179000000001</v>
      </c>
      <c r="AG25" t="s">
        <v>44</v>
      </c>
    </row>
    <row r="26" spans="1:33" x14ac:dyDescent="0.2">
      <c r="A26">
        <v>101</v>
      </c>
      <c r="B26" t="s">
        <v>418</v>
      </c>
      <c r="C26" t="s">
        <v>429</v>
      </c>
      <c r="D26" t="s">
        <v>46</v>
      </c>
      <c r="G26">
        <v>3.2085556536912897E-2</v>
      </c>
      <c r="H26">
        <v>0</v>
      </c>
      <c r="J26">
        <v>0.19656424224376701</v>
      </c>
      <c r="K26">
        <v>1.6805650666356101E-2</v>
      </c>
      <c r="L26">
        <v>6</v>
      </c>
      <c r="M26">
        <v>0</v>
      </c>
      <c r="T26">
        <v>0.31496384369557801</v>
      </c>
      <c r="U26">
        <v>6</v>
      </c>
      <c r="V26">
        <v>6</v>
      </c>
      <c r="W26" t="s">
        <v>420</v>
      </c>
      <c r="X26" t="s">
        <v>430</v>
      </c>
      <c r="Y26">
        <v>0.70480790000000004</v>
      </c>
      <c r="Z26">
        <v>0.52237904000000002</v>
      </c>
      <c r="AA26">
        <v>0.61359346000000003</v>
      </c>
      <c r="AB26">
        <v>0.5883543</v>
      </c>
      <c r="AC26">
        <v>4.4025992999999998E-3</v>
      </c>
      <c r="AD26">
        <v>0.29637843000000003</v>
      </c>
      <c r="AG26" t="s">
        <v>44</v>
      </c>
    </row>
    <row r="27" spans="1:33" x14ac:dyDescent="0.2">
      <c r="A27">
        <v>103</v>
      </c>
      <c r="B27" t="s">
        <v>431</v>
      </c>
      <c r="C27" t="s">
        <v>436</v>
      </c>
      <c r="D27" t="s">
        <v>42</v>
      </c>
      <c r="E27" t="s">
        <v>433</v>
      </c>
      <c r="F27" t="s">
        <v>437</v>
      </c>
      <c r="G27">
        <v>0</v>
      </c>
      <c r="H27">
        <v>9.5838075503705995E-3</v>
      </c>
      <c r="I27">
        <v>4.2372882366180399E-2</v>
      </c>
      <c r="J27">
        <v>8.7919058278202993E-3</v>
      </c>
      <c r="K27">
        <v>2.1215483546257002E-2</v>
      </c>
      <c r="L27">
        <v>0</v>
      </c>
      <c r="M27">
        <v>1.1308892965316799</v>
      </c>
      <c r="N27">
        <v>0.44711792469024703</v>
      </c>
      <c r="O27">
        <v>0.25709921121597301</v>
      </c>
      <c r="P27">
        <v>1</v>
      </c>
      <c r="Q27">
        <v>0.22617785632610299</v>
      </c>
      <c r="R27" t="s">
        <v>39</v>
      </c>
      <c r="S27" t="s">
        <v>438</v>
      </c>
      <c r="T27">
        <v>1.4962948898080799</v>
      </c>
      <c r="U27">
        <v>6</v>
      </c>
      <c r="V27">
        <v>4</v>
      </c>
      <c r="W27" t="s">
        <v>433</v>
      </c>
      <c r="X27" t="s">
        <v>439</v>
      </c>
      <c r="Y27">
        <v>0.73797250000000003</v>
      </c>
      <c r="Z27">
        <v>0.70106053000000002</v>
      </c>
      <c r="AA27">
        <v>0.7195165</v>
      </c>
      <c r="AB27">
        <v>0.41177427999999999</v>
      </c>
      <c r="AC27">
        <v>0.101873435</v>
      </c>
      <c r="AD27">
        <v>0.25682387000000001</v>
      </c>
      <c r="AG27" t="s">
        <v>44</v>
      </c>
    </row>
    <row r="28" spans="1:33" x14ac:dyDescent="0.2">
      <c r="A28">
        <v>106</v>
      </c>
      <c r="B28" t="s">
        <v>442</v>
      </c>
      <c r="C28" t="s">
        <v>450</v>
      </c>
      <c r="D28" t="s">
        <v>42</v>
      </c>
      <c r="E28" t="s">
        <v>444</v>
      </c>
      <c r="F28" t="s">
        <v>451</v>
      </c>
      <c r="G28">
        <v>0</v>
      </c>
      <c r="H28">
        <v>1.5790361911058402E-2</v>
      </c>
      <c r="I28">
        <v>0.111111111938953</v>
      </c>
      <c r="J28">
        <v>5.0420664250850698E-2</v>
      </c>
      <c r="K28">
        <v>6.9294422864913899E-2</v>
      </c>
      <c r="L28">
        <v>0</v>
      </c>
      <c r="M28">
        <v>1.5632457733154299</v>
      </c>
      <c r="N28">
        <v>0.24545381963252999</v>
      </c>
      <c r="O28">
        <v>0.51867550611496005</v>
      </c>
      <c r="P28">
        <v>0.5</v>
      </c>
      <c r="Q28">
        <v>0.28422650694847101</v>
      </c>
      <c r="R28" t="s">
        <v>446</v>
      </c>
      <c r="S28" t="s">
        <v>452</v>
      </c>
      <c r="T28">
        <v>0.67160526928433095</v>
      </c>
      <c r="U28">
        <v>4</v>
      </c>
      <c r="V28">
        <v>3</v>
      </c>
      <c r="W28" t="s">
        <v>448</v>
      </c>
      <c r="X28" t="s">
        <v>453</v>
      </c>
      <c r="Y28">
        <v>0.76610480000000003</v>
      </c>
      <c r="Z28">
        <v>0.82302909999999996</v>
      </c>
      <c r="AA28">
        <v>0.79456700000000002</v>
      </c>
      <c r="AB28">
        <v>0.29184504999999999</v>
      </c>
      <c r="AC28">
        <v>0.22502257000000001</v>
      </c>
      <c r="AD28">
        <v>0.25843381999999998</v>
      </c>
      <c r="AG28" t="s">
        <v>44</v>
      </c>
    </row>
    <row r="29" spans="1:33" x14ac:dyDescent="0.2">
      <c r="A29">
        <v>109</v>
      </c>
      <c r="B29" t="s">
        <v>456</v>
      </c>
      <c r="C29" t="s">
        <v>461</v>
      </c>
      <c r="D29" t="s">
        <v>42</v>
      </c>
      <c r="E29" t="s">
        <v>458</v>
      </c>
      <c r="F29" t="s">
        <v>462</v>
      </c>
      <c r="G29">
        <v>0</v>
      </c>
      <c r="H29">
        <v>0.10810811072588</v>
      </c>
      <c r="I29">
        <v>0.10810811072588</v>
      </c>
      <c r="J29">
        <v>1.8688470125198399E-2</v>
      </c>
      <c r="K29">
        <v>0.25990000367164601</v>
      </c>
      <c r="L29">
        <v>0</v>
      </c>
      <c r="M29">
        <v>12</v>
      </c>
      <c r="N29">
        <v>0.44188019633293202</v>
      </c>
      <c r="O29">
        <v>0.40558460354804998</v>
      </c>
      <c r="P29">
        <v>1</v>
      </c>
      <c r="Q29">
        <v>1</v>
      </c>
      <c r="R29" t="s">
        <v>39</v>
      </c>
      <c r="S29" t="s">
        <v>39</v>
      </c>
      <c r="T29">
        <v>0.99456626329388598</v>
      </c>
      <c r="U29">
        <v>5</v>
      </c>
      <c r="V29">
        <v>7</v>
      </c>
      <c r="W29" t="s">
        <v>458</v>
      </c>
      <c r="X29" t="s">
        <v>462</v>
      </c>
      <c r="Y29">
        <v>0.76699733999999997</v>
      </c>
      <c r="Z29">
        <v>0.8009887</v>
      </c>
      <c r="AA29">
        <v>0.78399300000000005</v>
      </c>
      <c r="AB29">
        <v>0.21407603</v>
      </c>
      <c r="AC29">
        <v>0.16013907999999999</v>
      </c>
      <c r="AD29">
        <v>0.18710756000000001</v>
      </c>
      <c r="AG29" t="s">
        <v>44</v>
      </c>
    </row>
    <row r="30" spans="1:33" x14ac:dyDescent="0.2">
      <c r="A30">
        <v>118</v>
      </c>
      <c r="B30" t="s">
        <v>486</v>
      </c>
      <c r="C30" t="s">
        <v>492</v>
      </c>
      <c r="D30" t="s">
        <v>42</v>
      </c>
      <c r="E30" t="s">
        <v>488</v>
      </c>
      <c r="F30" t="s">
        <v>493</v>
      </c>
      <c r="G30">
        <v>0</v>
      </c>
      <c r="H30">
        <v>1.5755636617541299E-2</v>
      </c>
      <c r="I30">
        <v>2.15827338397503E-2</v>
      </c>
      <c r="J30">
        <v>5.00147119164467E-2</v>
      </c>
      <c r="K30">
        <v>6.5628007054328905E-2</v>
      </c>
      <c r="L30">
        <v>0</v>
      </c>
      <c r="M30">
        <v>2.1900334358215301</v>
      </c>
      <c r="N30">
        <v>0.218197926878929</v>
      </c>
      <c r="O30">
        <v>0.47772103548049899</v>
      </c>
      <c r="P30">
        <v>0.73001116514205899</v>
      </c>
      <c r="Q30">
        <v>1</v>
      </c>
      <c r="R30" t="s">
        <v>490</v>
      </c>
      <c r="S30" t="s">
        <v>39</v>
      </c>
      <c r="T30">
        <v>1.4758908514198501</v>
      </c>
      <c r="U30">
        <v>4</v>
      </c>
      <c r="V30">
        <v>7</v>
      </c>
      <c r="W30" t="s">
        <v>488</v>
      </c>
      <c r="X30" t="s">
        <v>493</v>
      </c>
      <c r="Y30">
        <v>0.62073909999999999</v>
      </c>
      <c r="Z30">
        <v>0.76239950000000001</v>
      </c>
      <c r="AA30">
        <v>0.69156930000000005</v>
      </c>
      <c r="AB30">
        <v>0.34485285999999998</v>
      </c>
      <c r="AC30">
        <v>0.37063518000000001</v>
      </c>
      <c r="AD30">
        <v>0.35774403999999999</v>
      </c>
      <c r="AE30" t="s">
        <v>72</v>
      </c>
      <c r="AF30" t="s">
        <v>162</v>
      </c>
      <c r="AG30" t="s">
        <v>44</v>
      </c>
    </row>
    <row r="31" spans="1:33" x14ac:dyDescent="0.2">
      <c r="A31">
        <v>122</v>
      </c>
      <c r="B31" t="s">
        <v>495</v>
      </c>
      <c r="C31" t="s">
        <v>505</v>
      </c>
      <c r="D31" t="s">
        <v>46</v>
      </c>
      <c r="G31">
        <v>4.9751248210668599E-2</v>
      </c>
      <c r="H31">
        <v>0</v>
      </c>
      <c r="J31">
        <v>0.26062285900116</v>
      </c>
      <c r="K31">
        <v>2.2673701867461201E-2</v>
      </c>
      <c r="L31">
        <v>10</v>
      </c>
      <c r="M31">
        <v>0</v>
      </c>
      <c r="T31">
        <v>1.0392320667625601</v>
      </c>
      <c r="U31">
        <v>5</v>
      </c>
      <c r="V31">
        <v>6</v>
      </c>
      <c r="W31" t="s">
        <v>500</v>
      </c>
      <c r="X31" t="s">
        <v>506</v>
      </c>
      <c r="Y31">
        <v>0.73534739999999998</v>
      </c>
      <c r="Z31">
        <v>0.81868200000000002</v>
      </c>
      <c r="AA31">
        <v>0.77701472999999999</v>
      </c>
      <c r="AB31">
        <v>2.2902219000000001E-2</v>
      </c>
      <c r="AC31">
        <v>0.47633474999999997</v>
      </c>
      <c r="AD31">
        <v>0.24961849</v>
      </c>
      <c r="AG31" t="s">
        <v>44</v>
      </c>
    </row>
    <row r="32" spans="1:33" x14ac:dyDescent="0.2">
      <c r="A32">
        <v>123</v>
      </c>
      <c r="B32" t="s">
        <v>507</v>
      </c>
      <c r="C32" t="s">
        <v>357</v>
      </c>
      <c r="D32" t="s">
        <v>35</v>
      </c>
      <c r="E32" t="s">
        <v>508</v>
      </c>
      <c r="F32" t="s">
        <v>358</v>
      </c>
      <c r="G32">
        <v>5.4726362228393603E-2</v>
      </c>
      <c r="H32">
        <v>9.3907132744789096E-2</v>
      </c>
      <c r="I32">
        <v>0.19607843458652499</v>
      </c>
      <c r="J32">
        <v>0.20377677679061901</v>
      </c>
      <c r="K32">
        <v>0.17279663681983901</v>
      </c>
      <c r="L32">
        <v>11</v>
      </c>
      <c r="M32">
        <v>9.5785274505615199</v>
      </c>
      <c r="N32">
        <v>0.43718671798706099</v>
      </c>
      <c r="O32">
        <v>0.56460452079773005</v>
      </c>
      <c r="P32">
        <v>1</v>
      </c>
      <c r="Q32">
        <v>0.47892636060714699</v>
      </c>
      <c r="R32" t="s">
        <v>39</v>
      </c>
      <c r="S32" t="s">
        <v>359</v>
      </c>
      <c r="T32">
        <v>1.41741885295091</v>
      </c>
      <c r="U32">
        <v>6</v>
      </c>
      <c r="V32">
        <v>4</v>
      </c>
      <c r="W32" t="s">
        <v>508</v>
      </c>
      <c r="X32" t="s">
        <v>358</v>
      </c>
      <c r="Y32">
        <v>0.78326289999999998</v>
      </c>
      <c r="Z32">
        <v>0.79579840000000002</v>
      </c>
      <c r="AA32">
        <v>0.78953063000000001</v>
      </c>
      <c r="AB32">
        <v>0.52317230000000003</v>
      </c>
      <c r="AC32">
        <v>0.27219588</v>
      </c>
      <c r="AD32">
        <v>0.39768409999999998</v>
      </c>
      <c r="AG32" t="s">
        <v>44</v>
      </c>
    </row>
    <row r="33" spans="1:33" x14ac:dyDescent="0.2">
      <c r="A33">
        <v>127</v>
      </c>
      <c r="B33" t="s">
        <v>515</v>
      </c>
      <c r="C33" t="s">
        <v>150</v>
      </c>
      <c r="D33" t="s">
        <v>42</v>
      </c>
      <c r="E33" t="s">
        <v>520</v>
      </c>
      <c r="F33" t="s">
        <v>151</v>
      </c>
      <c r="G33">
        <v>0</v>
      </c>
      <c r="H33">
        <v>2.71699782460928E-2</v>
      </c>
      <c r="I33">
        <v>6.3157893717288971E-2</v>
      </c>
      <c r="J33">
        <v>6.36173486709595E-2</v>
      </c>
      <c r="K33">
        <v>0.107461795210838</v>
      </c>
      <c r="L33">
        <v>0</v>
      </c>
      <c r="M33">
        <v>2.58114814758301</v>
      </c>
      <c r="N33">
        <v>0.40273305773735002</v>
      </c>
      <c r="O33">
        <v>0.60429781675338801</v>
      </c>
      <c r="P33">
        <v>0.43019133806228599</v>
      </c>
      <c r="Q33">
        <v>1</v>
      </c>
      <c r="R33" t="s">
        <v>521</v>
      </c>
      <c r="S33" t="s">
        <v>39</v>
      </c>
      <c r="T33">
        <v>1.0498064086996099</v>
      </c>
      <c r="U33">
        <v>4</v>
      </c>
      <c r="V33">
        <v>5</v>
      </c>
      <c r="W33" t="s">
        <v>520</v>
      </c>
      <c r="X33" t="s">
        <v>151</v>
      </c>
      <c r="Y33">
        <v>0.79574924999999996</v>
      </c>
      <c r="Z33">
        <v>0.83467250000000004</v>
      </c>
      <c r="AA33">
        <v>0.81521089999999996</v>
      </c>
      <c r="AB33">
        <v>0.32706863000000003</v>
      </c>
      <c r="AC33">
        <v>0.2812132</v>
      </c>
      <c r="AD33">
        <v>0.30414092999999998</v>
      </c>
      <c r="AG33" t="s">
        <v>44</v>
      </c>
    </row>
    <row r="34" spans="1:33" x14ac:dyDescent="0.2">
      <c r="A34">
        <v>131</v>
      </c>
      <c r="B34" t="s">
        <v>524</v>
      </c>
      <c r="C34" t="s">
        <v>535</v>
      </c>
      <c r="D34" t="s">
        <v>46</v>
      </c>
      <c r="G34">
        <v>6.4039416611194597E-2</v>
      </c>
      <c r="H34">
        <v>0</v>
      </c>
      <c r="J34">
        <v>0.17465639114379899</v>
      </c>
      <c r="K34">
        <v>2.1196391433477402E-2</v>
      </c>
      <c r="L34">
        <v>13</v>
      </c>
      <c r="M34">
        <v>0</v>
      </c>
      <c r="T34">
        <v>0.95167138686642205</v>
      </c>
      <c r="U34">
        <v>4</v>
      </c>
      <c r="V34">
        <v>5</v>
      </c>
      <c r="W34" t="s">
        <v>530</v>
      </c>
      <c r="X34" t="s">
        <v>536</v>
      </c>
      <c r="Y34">
        <v>0.71111760000000002</v>
      </c>
      <c r="Z34">
        <v>0.46832724999999997</v>
      </c>
      <c r="AA34">
        <v>0.58972245000000001</v>
      </c>
      <c r="AB34">
        <v>3.8362159999999999E-2</v>
      </c>
      <c r="AC34">
        <v>1.4070731E-2</v>
      </c>
      <c r="AD34">
        <v>2.6216445000000001E-2</v>
      </c>
      <c r="AG34" t="s">
        <v>44</v>
      </c>
    </row>
    <row r="35" spans="1:33" x14ac:dyDescent="0.2">
      <c r="A35">
        <v>132</v>
      </c>
      <c r="B35" t="s">
        <v>537</v>
      </c>
      <c r="C35" t="s">
        <v>538</v>
      </c>
      <c r="D35" t="s">
        <v>35</v>
      </c>
      <c r="E35" t="s">
        <v>276</v>
      </c>
      <c r="F35" t="s">
        <v>539</v>
      </c>
      <c r="G35">
        <v>4.21686694025993E-2</v>
      </c>
      <c r="H35">
        <v>2.8128944337368001E-2</v>
      </c>
      <c r="I35">
        <v>0.116438359022141</v>
      </c>
      <c r="J35">
        <v>0.28122282028198198</v>
      </c>
      <c r="K35">
        <v>0.17412483692169201</v>
      </c>
      <c r="L35">
        <v>7</v>
      </c>
      <c r="M35">
        <v>3.6848917007446298</v>
      </c>
      <c r="N35">
        <v>0.260041683912277</v>
      </c>
      <c r="O35">
        <v>0.22672840952873199</v>
      </c>
      <c r="P35">
        <v>0.21647545695304901</v>
      </c>
      <c r="Q35">
        <v>0.36176687479019198</v>
      </c>
      <c r="R35" t="s">
        <v>540</v>
      </c>
      <c r="S35" t="s">
        <v>541</v>
      </c>
      <c r="T35">
        <v>1.1520182988634899</v>
      </c>
      <c r="U35">
        <v>6</v>
      </c>
      <c r="V35">
        <v>7</v>
      </c>
      <c r="W35" t="s">
        <v>542</v>
      </c>
      <c r="X35" t="s">
        <v>543</v>
      </c>
      <c r="Y35">
        <v>0.76075559999999998</v>
      </c>
      <c r="Z35">
        <v>0.78955839999999999</v>
      </c>
      <c r="AA35">
        <v>0.77515699999999998</v>
      </c>
      <c r="AB35">
        <v>0.24604156999999999</v>
      </c>
      <c r="AC35">
        <v>0.34699973000000001</v>
      </c>
      <c r="AD35">
        <v>0.29652065</v>
      </c>
      <c r="AG35" t="s">
        <v>44</v>
      </c>
    </row>
    <row r="36" spans="1:33" x14ac:dyDescent="0.2">
      <c r="A36">
        <v>137</v>
      </c>
      <c r="B36" t="s">
        <v>550</v>
      </c>
      <c r="C36" t="s">
        <v>558</v>
      </c>
      <c r="D36" t="s">
        <v>46</v>
      </c>
      <c r="G36">
        <v>4.7846898436546298E-2</v>
      </c>
      <c r="H36">
        <v>0</v>
      </c>
      <c r="J36">
        <v>0.128483846783638</v>
      </c>
      <c r="K36">
        <v>1.83143466711044E-2</v>
      </c>
      <c r="L36">
        <v>10</v>
      </c>
      <c r="M36">
        <v>0</v>
      </c>
      <c r="T36">
        <v>0.704042248211733</v>
      </c>
      <c r="U36">
        <v>5</v>
      </c>
      <c r="V36">
        <v>5</v>
      </c>
      <c r="W36" t="s">
        <v>552</v>
      </c>
      <c r="X36" t="s">
        <v>559</v>
      </c>
      <c r="Y36">
        <v>0.74561655999999998</v>
      </c>
      <c r="Z36">
        <v>0.85534600000000005</v>
      </c>
      <c r="AA36">
        <v>0.80048129999999995</v>
      </c>
      <c r="AB36">
        <v>0.18206261000000001</v>
      </c>
      <c r="AC36">
        <v>0.43111222999999999</v>
      </c>
      <c r="AD36">
        <v>0.30658742999999999</v>
      </c>
      <c r="AG36" t="s">
        <v>44</v>
      </c>
    </row>
    <row r="37" spans="1:33" x14ac:dyDescent="0.2">
      <c r="A37">
        <v>140</v>
      </c>
      <c r="B37" t="s">
        <v>560</v>
      </c>
      <c r="C37" t="s">
        <v>570</v>
      </c>
      <c r="D37" t="s">
        <v>46</v>
      </c>
      <c r="G37">
        <v>5.2000004798173897E-2</v>
      </c>
      <c r="H37">
        <v>0</v>
      </c>
      <c r="J37">
        <v>0.38383242487907399</v>
      </c>
      <c r="K37">
        <v>2.47104559093714E-2</v>
      </c>
      <c r="L37">
        <v>13</v>
      </c>
      <c r="M37">
        <v>0</v>
      </c>
      <c r="T37">
        <v>0.48923575554128901</v>
      </c>
      <c r="U37">
        <v>6</v>
      </c>
      <c r="V37">
        <v>6</v>
      </c>
      <c r="W37" t="s">
        <v>562</v>
      </c>
      <c r="X37" t="s">
        <v>571</v>
      </c>
      <c r="Y37">
        <v>0.62849580000000005</v>
      </c>
      <c r="Z37">
        <v>0.64790683999999998</v>
      </c>
      <c r="AA37">
        <v>0.63820136000000005</v>
      </c>
      <c r="AB37">
        <v>0.25406600000000001</v>
      </c>
      <c r="AC37">
        <v>2.6098284999999999E-2</v>
      </c>
      <c r="AD37">
        <v>0.14008213999999999</v>
      </c>
      <c r="AG37" t="s">
        <v>44</v>
      </c>
    </row>
    <row r="38" spans="1:33" x14ac:dyDescent="0.2">
      <c r="A38">
        <v>144</v>
      </c>
      <c r="B38" t="s">
        <v>580</v>
      </c>
      <c r="C38" t="s">
        <v>581</v>
      </c>
      <c r="D38" t="s">
        <v>35</v>
      </c>
      <c r="E38" t="s">
        <v>582</v>
      </c>
      <c r="F38" t="s">
        <v>583</v>
      </c>
      <c r="G38">
        <v>3.6458328366279602E-2</v>
      </c>
      <c r="H38">
        <v>1.0424834676086899E-2</v>
      </c>
      <c r="I38">
        <v>0.120689652860165</v>
      </c>
      <c r="J38">
        <v>0.267675280570984</v>
      </c>
      <c r="K38">
        <v>3.6477204412221902E-2</v>
      </c>
      <c r="L38">
        <v>7</v>
      </c>
      <c r="M38">
        <v>1.2092808485031099</v>
      </c>
      <c r="N38">
        <v>0.23080249130725899</v>
      </c>
      <c r="O38">
        <v>0.37682914733886702</v>
      </c>
      <c r="P38">
        <v>0.60768449306488004</v>
      </c>
      <c r="Q38">
        <v>0.14214153587818101</v>
      </c>
      <c r="R38" t="s">
        <v>584</v>
      </c>
      <c r="S38" t="s">
        <v>585</v>
      </c>
      <c r="T38">
        <v>1.33970487202137</v>
      </c>
      <c r="U38">
        <v>5</v>
      </c>
      <c r="V38">
        <v>3</v>
      </c>
      <c r="W38" t="s">
        <v>582</v>
      </c>
      <c r="X38" t="s">
        <v>586</v>
      </c>
      <c r="Y38">
        <v>0.68423509999999998</v>
      </c>
      <c r="Z38">
        <v>0.81057900000000005</v>
      </c>
      <c r="AA38">
        <v>0.74740709999999999</v>
      </c>
      <c r="AB38">
        <v>0.26644859999999998</v>
      </c>
      <c r="AC38">
        <v>0.37285384999999999</v>
      </c>
      <c r="AD38">
        <v>0.31965122000000001</v>
      </c>
      <c r="AG38" t="s">
        <v>44</v>
      </c>
    </row>
    <row r="39" spans="1:33" x14ac:dyDescent="0.2">
      <c r="A39">
        <v>148</v>
      </c>
      <c r="B39" t="s">
        <v>591</v>
      </c>
      <c r="C39" t="s">
        <v>596</v>
      </c>
      <c r="D39" t="s">
        <v>42</v>
      </c>
      <c r="E39" t="s">
        <v>593</v>
      </c>
      <c r="F39" t="s">
        <v>597</v>
      </c>
      <c r="G39">
        <v>0</v>
      </c>
      <c r="H39">
        <v>1.9685581326484701E-2</v>
      </c>
      <c r="I39">
        <v>3.3333335071802098E-2</v>
      </c>
      <c r="J39">
        <v>4.89645525813103E-2</v>
      </c>
      <c r="K39">
        <v>9.9451556801796001E-2</v>
      </c>
      <c r="L39">
        <v>0</v>
      </c>
      <c r="M39">
        <v>2.3622696399688698</v>
      </c>
      <c r="N39">
        <v>0.47261121869087203</v>
      </c>
      <c r="O39">
        <v>0.298249572515488</v>
      </c>
      <c r="P39">
        <v>1</v>
      </c>
      <c r="Q39">
        <v>0.59056740999221802</v>
      </c>
      <c r="R39" t="s">
        <v>39</v>
      </c>
      <c r="S39" t="s">
        <v>598</v>
      </c>
      <c r="T39">
        <v>1.43905840711234</v>
      </c>
      <c r="U39">
        <v>4</v>
      </c>
      <c r="V39">
        <v>4</v>
      </c>
      <c r="W39" t="s">
        <v>593</v>
      </c>
      <c r="X39" t="s">
        <v>597</v>
      </c>
      <c r="Y39">
        <v>0.76299315999999995</v>
      </c>
      <c r="Z39">
        <v>0.77151389999999997</v>
      </c>
      <c r="AA39">
        <v>0.76725350000000003</v>
      </c>
      <c r="AB39">
        <v>0.49154229999999999</v>
      </c>
      <c r="AC39">
        <v>0.12217965</v>
      </c>
      <c r="AD39">
        <v>0.30686098000000001</v>
      </c>
      <c r="AG39" t="s">
        <v>44</v>
      </c>
    </row>
    <row r="40" spans="1:33" x14ac:dyDescent="0.2">
      <c r="A40">
        <v>151</v>
      </c>
      <c r="B40" t="s">
        <v>601</v>
      </c>
      <c r="C40" t="s">
        <v>604</v>
      </c>
      <c r="D40" t="s">
        <v>42</v>
      </c>
      <c r="E40" t="s">
        <v>602</v>
      </c>
      <c r="F40" t="s">
        <v>605</v>
      </c>
      <c r="G40">
        <v>0</v>
      </c>
      <c r="H40">
        <v>1.3688847422599799E-2</v>
      </c>
      <c r="I40">
        <v>2.5210084393620501E-2</v>
      </c>
      <c r="J40">
        <v>4.7421079128980602E-2</v>
      </c>
      <c r="K40">
        <v>0.18412822484970101</v>
      </c>
      <c r="L40">
        <v>0</v>
      </c>
      <c r="M40">
        <v>1.62897276878357</v>
      </c>
      <c r="N40">
        <v>0.40379625558853199</v>
      </c>
      <c r="O40">
        <v>0.42276623845100397</v>
      </c>
      <c r="P40">
        <v>1</v>
      </c>
      <c r="Q40">
        <v>0.542990922927856</v>
      </c>
      <c r="R40" t="s">
        <v>39</v>
      </c>
      <c r="S40" t="s">
        <v>606</v>
      </c>
      <c r="T40">
        <v>0.95448223413411004</v>
      </c>
      <c r="U40">
        <v>5</v>
      </c>
      <c r="V40">
        <v>4</v>
      </c>
      <c r="W40" t="s">
        <v>602</v>
      </c>
      <c r="X40" t="s">
        <v>605</v>
      </c>
      <c r="Y40">
        <v>0.65414225999999998</v>
      </c>
      <c r="Z40">
        <v>0.79355880000000001</v>
      </c>
      <c r="AA40">
        <v>0.72385049999999995</v>
      </c>
      <c r="AB40">
        <v>0.78845310000000002</v>
      </c>
      <c r="AC40">
        <v>0.26628718000000001</v>
      </c>
      <c r="AD40">
        <v>0.52737014999999998</v>
      </c>
      <c r="AG40" t="s">
        <v>44</v>
      </c>
    </row>
    <row r="41" spans="1:33" x14ac:dyDescent="0.2">
      <c r="A41">
        <v>161</v>
      </c>
      <c r="B41" t="s">
        <v>634</v>
      </c>
      <c r="C41" t="s">
        <v>640</v>
      </c>
      <c r="D41" t="s">
        <v>46</v>
      </c>
      <c r="G41">
        <v>4.5714288949966403E-2</v>
      </c>
      <c r="H41">
        <v>0</v>
      </c>
      <c r="J41">
        <v>0.21815052628517201</v>
      </c>
      <c r="K41">
        <v>3.7952281534671797E-2</v>
      </c>
      <c r="L41">
        <v>8</v>
      </c>
      <c r="M41">
        <v>0</v>
      </c>
      <c r="T41">
        <v>0.97144107045126005</v>
      </c>
      <c r="U41">
        <v>6</v>
      </c>
      <c r="V41">
        <v>4</v>
      </c>
      <c r="W41" t="s">
        <v>635</v>
      </c>
      <c r="X41" t="s">
        <v>641</v>
      </c>
      <c r="Y41">
        <v>0.7858948</v>
      </c>
      <c r="Z41">
        <v>0.72074360000000004</v>
      </c>
      <c r="AA41">
        <v>0.75331919999999997</v>
      </c>
      <c r="AB41">
        <v>0.53203756000000002</v>
      </c>
      <c r="AC41">
        <v>0.20718074</v>
      </c>
      <c r="AD41">
        <v>0.36960915</v>
      </c>
      <c r="AG41" t="s">
        <v>44</v>
      </c>
    </row>
    <row r="42" spans="1:33" x14ac:dyDescent="0.2">
      <c r="A42">
        <v>163</v>
      </c>
      <c r="B42" t="s">
        <v>642</v>
      </c>
      <c r="C42" t="s">
        <v>646</v>
      </c>
      <c r="D42" t="s">
        <v>42</v>
      </c>
      <c r="E42" t="s">
        <v>644</v>
      </c>
      <c r="F42" t="s">
        <v>647</v>
      </c>
      <c r="G42">
        <v>0</v>
      </c>
      <c r="H42">
        <v>4.4611450284719502E-2</v>
      </c>
      <c r="I42">
        <v>0.15277777612209301</v>
      </c>
      <c r="J42">
        <v>3.3286243677139303E-2</v>
      </c>
      <c r="K42">
        <v>8.7775871157646193E-2</v>
      </c>
      <c r="L42">
        <v>0</v>
      </c>
      <c r="M42">
        <v>3.21202445030212</v>
      </c>
      <c r="N42">
        <v>0.24256452918052701</v>
      </c>
      <c r="O42">
        <v>0.54456496238708496</v>
      </c>
      <c r="P42">
        <v>1</v>
      </c>
      <c r="Q42">
        <v>0.29200223088264499</v>
      </c>
      <c r="R42" t="s">
        <v>39</v>
      </c>
      <c r="S42" t="s">
        <v>648</v>
      </c>
      <c r="T42">
        <v>0.90077442153416898</v>
      </c>
      <c r="U42">
        <v>5</v>
      </c>
      <c r="V42">
        <v>5</v>
      </c>
      <c r="W42" t="s">
        <v>644</v>
      </c>
      <c r="X42" t="s">
        <v>649</v>
      </c>
      <c r="Y42">
        <v>0.68939375999999997</v>
      </c>
      <c r="Z42">
        <v>0.77895040000000004</v>
      </c>
      <c r="AA42">
        <v>0.73417209999999999</v>
      </c>
      <c r="AB42">
        <v>0.10314945</v>
      </c>
      <c r="AC42">
        <v>0.28712674999999999</v>
      </c>
      <c r="AD42">
        <v>0.19513810000000001</v>
      </c>
      <c r="AG42" t="s">
        <v>44</v>
      </c>
    </row>
    <row r="43" spans="1:33" x14ac:dyDescent="0.2">
      <c r="A43">
        <v>167</v>
      </c>
      <c r="B43" t="s">
        <v>652</v>
      </c>
      <c r="C43" t="s">
        <v>661</v>
      </c>
      <c r="D43" t="s">
        <v>46</v>
      </c>
      <c r="G43">
        <v>2.1459221839904799E-2</v>
      </c>
      <c r="H43">
        <v>0</v>
      </c>
      <c r="J43">
        <v>0.15465913712978399</v>
      </c>
      <c r="K43">
        <v>1.1378576047718501E-2</v>
      </c>
      <c r="L43">
        <v>5</v>
      </c>
      <c r="M43">
        <v>0</v>
      </c>
      <c r="T43">
        <v>1.2505016660961501</v>
      </c>
      <c r="U43">
        <v>5</v>
      </c>
      <c r="V43">
        <v>6</v>
      </c>
      <c r="W43" t="s">
        <v>654</v>
      </c>
      <c r="X43" t="s">
        <v>662</v>
      </c>
      <c r="Y43">
        <v>0.75136460000000005</v>
      </c>
      <c r="Z43">
        <v>0.73640490000000003</v>
      </c>
      <c r="AA43">
        <v>0.74388474000000004</v>
      </c>
      <c r="AB43">
        <v>0.56721705</v>
      </c>
      <c r="AC43">
        <v>0.13183837000000001</v>
      </c>
      <c r="AD43">
        <v>0.34952771999999999</v>
      </c>
      <c r="AG43" t="s">
        <v>44</v>
      </c>
    </row>
    <row r="44" spans="1:33" x14ac:dyDescent="0.2">
      <c r="A44">
        <v>168</v>
      </c>
      <c r="B44" t="s">
        <v>663</v>
      </c>
      <c r="C44" t="s">
        <v>664</v>
      </c>
      <c r="D44" t="s">
        <v>35</v>
      </c>
      <c r="E44" t="s">
        <v>665</v>
      </c>
      <c r="F44" t="s">
        <v>666</v>
      </c>
      <c r="G44">
        <v>0.139130428433418</v>
      </c>
      <c r="H44">
        <v>1.33142052218318E-2</v>
      </c>
      <c r="I44">
        <v>0.123595505952835</v>
      </c>
      <c r="J44">
        <v>0.25778684020042397</v>
      </c>
      <c r="K44">
        <v>0.107683293521404</v>
      </c>
      <c r="L44">
        <v>16</v>
      </c>
      <c r="M44">
        <v>1.0784505605697601</v>
      </c>
      <c r="N44">
        <v>0.44387087225914001</v>
      </c>
      <c r="O44">
        <v>0.489626735448837</v>
      </c>
      <c r="P44">
        <v>0.31964552402496299</v>
      </c>
      <c r="Q44">
        <v>0.26418840885162398</v>
      </c>
      <c r="R44" t="s">
        <v>667</v>
      </c>
      <c r="S44" t="s">
        <v>668</v>
      </c>
      <c r="T44">
        <v>0.66808038926270197</v>
      </c>
      <c r="U44">
        <v>6</v>
      </c>
      <c r="V44">
        <v>5</v>
      </c>
      <c r="W44" t="s">
        <v>669</v>
      </c>
      <c r="X44" t="s">
        <v>666</v>
      </c>
      <c r="Y44">
        <v>0.77477074000000001</v>
      </c>
      <c r="Z44">
        <v>0.82681256999999997</v>
      </c>
      <c r="AA44">
        <v>0.80079160000000005</v>
      </c>
      <c r="AB44">
        <v>0.36413259999999997</v>
      </c>
      <c r="AC44">
        <v>0.50534460000000003</v>
      </c>
      <c r="AD44">
        <v>0.43473864000000001</v>
      </c>
      <c r="AG44" t="s">
        <v>44</v>
      </c>
    </row>
    <row r="45" spans="1:33" x14ac:dyDescent="0.2">
      <c r="A45">
        <v>174</v>
      </c>
      <c r="B45" t="s">
        <v>683</v>
      </c>
      <c r="C45" t="s">
        <v>684</v>
      </c>
      <c r="D45" t="s">
        <v>35</v>
      </c>
      <c r="E45" t="s">
        <v>685</v>
      </c>
      <c r="F45" t="s">
        <v>686</v>
      </c>
      <c r="G45">
        <v>3.7209302186965901E-2</v>
      </c>
      <c r="H45">
        <v>1.23068951070309E-2</v>
      </c>
      <c r="I45">
        <v>3.3333335071802098E-2</v>
      </c>
      <c r="J45">
        <v>0.390934407711029</v>
      </c>
      <c r="K45">
        <v>0.13313598930835699</v>
      </c>
      <c r="L45">
        <v>8</v>
      </c>
      <c r="M45">
        <v>1.10762047767639</v>
      </c>
      <c r="N45">
        <v>0.44697305560112</v>
      </c>
      <c r="O45">
        <v>0.56862372159957897</v>
      </c>
      <c r="P45">
        <v>1</v>
      </c>
      <c r="Q45">
        <v>0.36920684576034501</v>
      </c>
      <c r="R45" t="s">
        <v>39</v>
      </c>
      <c r="S45" t="s">
        <v>687</v>
      </c>
      <c r="T45">
        <v>1.0086990373473801</v>
      </c>
      <c r="U45">
        <v>6</v>
      </c>
      <c r="V45">
        <v>4</v>
      </c>
      <c r="W45" t="s">
        <v>685</v>
      </c>
      <c r="X45" t="s">
        <v>688</v>
      </c>
      <c r="Y45">
        <v>0.71423080000000005</v>
      </c>
      <c r="Z45">
        <v>0.78306299999999995</v>
      </c>
      <c r="AA45">
        <v>0.74864686000000003</v>
      </c>
      <c r="AB45">
        <v>0.46361839999999999</v>
      </c>
      <c r="AC45">
        <v>6.737667E-2</v>
      </c>
      <c r="AD45">
        <v>0.26549753999999998</v>
      </c>
      <c r="AG45" t="s">
        <v>44</v>
      </c>
    </row>
    <row r="46" spans="1:33" x14ac:dyDescent="0.2">
      <c r="A46">
        <v>177</v>
      </c>
      <c r="B46" t="s">
        <v>694</v>
      </c>
      <c r="C46" t="s">
        <v>250</v>
      </c>
      <c r="D46" t="s">
        <v>35</v>
      </c>
      <c r="E46" t="s">
        <v>695</v>
      </c>
      <c r="F46" t="s">
        <v>696</v>
      </c>
      <c r="G46">
        <v>0.147651001811028</v>
      </c>
      <c r="H46">
        <v>1.1012173257768199E-2</v>
      </c>
      <c r="I46">
        <v>9.0090088546276106E-2</v>
      </c>
      <c r="J46">
        <v>0.33582073450088501</v>
      </c>
      <c r="K46">
        <v>4.4126879423856701E-2</v>
      </c>
      <c r="L46">
        <v>22</v>
      </c>
      <c r="M46">
        <v>1.22235131263733</v>
      </c>
      <c r="N46">
        <v>0.46649140119552601</v>
      </c>
      <c r="O46">
        <v>0.40252178907394398</v>
      </c>
      <c r="P46">
        <v>0.38632652163505599</v>
      </c>
      <c r="Q46">
        <v>0.31640365719795199</v>
      </c>
      <c r="R46" t="s">
        <v>697</v>
      </c>
      <c r="S46" t="s">
        <v>698</v>
      </c>
      <c r="T46">
        <v>1.1497357225421301</v>
      </c>
      <c r="U46">
        <v>6</v>
      </c>
      <c r="V46">
        <v>4</v>
      </c>
      <c r="W46" t="s">
        <v>699</v>
      </c>
      <c r="X46" t="s">
        <v>251</v>
      </c>
      <c r="Y46">
        <v>0.71597356000000001</v>
      </c>
      <c r="Z46">
        <v>0.60858909999999999</v>
      </c>
      <c r="AA46">
        <v>0.66228133</v>
      </c>
      <c r="AB46">
        <v>0.20806131999999999</v>
      </c>
      <c r="AC46">
        <v>0.17297293</v>
      </c>
      <c r="AD46">
        <v>0.19051713000000001</v>
      </c>
      <c r="AG46" t="s">
        <v>44</v>
      </c>
    </row>
    <row r="47" spans="1:33" x14ac:dyDescent="0.2">
      <c r="A47">
        <v>180</v>
      </c>
      <c r="B47" t="s">
        <v>703</v>
      </c>
      <c r="C47" t="s">
        <v>193</v>
      </c>
      <c r="D47" t="s">
        <v>35</v>
      </c>
      <c r="E47" t="s">
        <v>704</v>
      </c>
      <c r="F47" t="s">
        <v>195</v>
      </c>
      <c r="G47">
        <v>1.9867554306983899E-2</v>
      </c>
      <c r="H47">
        <v>9.9277691915630999E-3</v>
      </c>
      <c r="I47">
        <v>3.2608695328235598E-2</v>
      </c>
      <c r="J47">
        <v>0.27605703473091098</v>
      </c>
      <c r="K47">
        <v>9.3162178993225098E-2</v>
      </c>
      <c r="L47">
        <v>3</v>
      </c>
      <c r="M47">
        <v>0.91335469484329201</v>
      </c>
      <c r="N47">
        <v>0.45260789990425099</v>
      </c>
      <c r="O47">
        <v>0.41621613502502403</v>
      </c>
      <c r="P47">
        <v>0.68265908956527699</v>
      </c>
      <c r="Q47">
        <v>0.33103165030479398</v>
      </c>
      <c r="R47" t="s">
        <v>705</v>
      </c>
      <c r="S47" t="s">
        <v>197</v>
      </c>
      <c r="T47">
        <v>1.33275814282014</v>
      </c>
      <c r="U47">
        <v>4</v>
      </c>
      <c r="V47">
        <v>5</v>
      </c>
      <c r="W47" t="s">
        <v>704</v>
      </c>
      <c r="X47" t="s">
        <v>199</v>
      </c>
      <c r="Y47">
        <v>0.75442929999999997</v>
      </c>
      <c r="Z47">
        <v>0.74463080000000004</v>
      </c>
      <c r="AA47">
        <v>0.74953009999999998</v>
      </c>
      <c r="AB47">
        <v>0.26293070000000002</v>
      </c>
      <c r="AC47">
        <v>8.8426850000000001E-2</v>
      </c>
      <c r="AD47">
        <v>0.17567877000000001</v>
      </c>
      <c r="AG47" t="s">
        <v>44</v>
      </c>
    </row>
    <row r="48" spans="1:33" x14ac:dyDescent="0.2">
      <c r="A48">
        <v>184</v>
      </c>
      <c r="B48" t="s">
        <v>712</v>
      </c>
      <c r="C48" t="s">
        <v>544</v>
      </c>
      <c r="D48" t="s">
        <v>42</v>
      </c>
      <c r="E48" t="s">
        <v>714</v>
      </c>
      <c r="F48" t="s">
        <v>545</v>
      </c>
      <c r="G48">
        <v>0</v>
      </c>
      <c r="H48">
        <v>3.9919201284646898E-2</v>
      </c>
      <c r="I48">
        <v>7.7669903635978699E-2</v>
      </c>
      <c r="J48">
        <v>8.6927833035588004E-3</v>
      </c>
      <c r="K48">
        <v>7.0977836847305298E-2</v>
      </c>
      <c r="L48">
        <v>0</v>
      </c>
      <c r="M48">
        <v>4.1116776466369602</v>
      </c>
      <c r="N48">
        <v>0.49772608280181901</v>
      </c>
      <c r="O48">
        <v>0.34682574868202198</v>
      </c>
      <c r="P48">
        <v>1</v>
      </c>
      <c r="Q48">
        <v>0.51395970582962003</v>
      </c>
      <c r="R48" t="s">
        <v>39</v>
      </c>
      <c r="S48" t="s">
        <v>547</v>
      </c>
      <c r="T48">
        <v>1.1973501964370901</v>
      </c>
      <c r="U48">
        <v>6</v>
      </c>
      <c r="V48">
        <v>7</v>
      </c>
      <c r="W48" t="s">
        <v>714</v>
      </c>
      <c r="X48" t="s">
        <v>545</v>
      </c>
      <c r="Y48">
        <v>0.80626209999999998</v>
      </c>
      <c r="Z48">
        <v>0.75450640000000002</v>
      </c>
      <c r="AA48">
        <v>0.78038423999999995</v>
      </c>
      <c r="AB48">
        <v>8.3157844999999994E-2</v>
      </c>
      <c r="AC48">
        <v>0.36404170000000002</v>
      </c>
      <c r="AD48">
        <v>0.22359976000000001</v>
      </c>
      <c r="AG48" t="s">
        <v>44</v>
      </c>
    </row>
    <row r="49" spans="1:33" x14ac:dyDescent="0.2">
      <c r="A49">
        <v>188</v>
      </c>
      <c r="B49" t="s">
        <v>720</v>
      </c>
      <c r="C49" t="s">
        <v>307</v>
      </c>
      <c r="D49" t="s">
        <v>46</v>
      </c>
      <c r="G49">
        <v>0.15021459758281699</v>
      </c>
      <c r="H49">
        <v>0</v>
      </c>
      <c r="J49">
        <v>0.238620415329933</v>
      </c>
      <c r="K49">
        <v>1.3399999588727901E-2</v>
      </c>
      <c r="L49">
        <v>35</v>
      </c>
      <c r="M49">
        <v>0</v>
      </c>
      <c r="T49">
        <v>0.98901822600084599</v>
      </c>
      <c r="U49">
        <v>6</v>
      </c>
      <c r="V49">
        <v>4</v>
      </c>
      <c r="W49" t="s">
        <v>722</v>
      </c>
      <c r="X49" t="s">
        <v>308</v>
      </c>
      <c r="Y49">
        <v>0.78879136000000005</v>
      </c>
      <c r="Z49">
        <v>0.8341423</v>
      </c>
      <c r="AA49">
        <v>0.81146680000000004</v>
      </c>
      <c r="AB49">
        <v>0.14649429999999999</v>
      </c>
      <c r="AC49">
        <v>0.22804466000000001</v>
      </c>
      <c r="AD49">
        <v>0.18726947999999999</v>
      </c>
      <c r="AG49" t="s">
        <v>44</v>
      </c>
    </row>
    <row r="50" spans="1:33" x14ac:dyDescent="0.2">
      <c r="A50">
        <v>194</v>
      </c>
      <c r="B50" t="s">
        <v>62</v>
      </c>
      <c r="C50" t="s">
        <v>352</v>
      </c>
      <c r="D50" t="s">
        <v>736</v>
      </c>
      <c r="G50">
        <v>0</v>
      </c>
      <c r="H50">
        <v>0</v>
      </c>
      <c r="J50">
        <v>3.4629173576831818E-2</v>
      </c>
      <c r="K50">
        <v>2.0569305866956711E-2</v>
      </c>
      <c r="L50">
        <v>0</v>
      </c>
      <c r="M50">
        <v>0</v>
      </c>
      <c r="U50">
        <v>6</v>
      </c>
      <c r="V50">
        <v>6</v>
      </c>
      <c r="W50" t="s">
        <v>64</v>
      </c>
      <c r="X50" t="s">
        <v>737</v>
      </c>
      <c r="AG50" t="s">
        <v>44</v>
      </c>
    </row>
    <row r="51" spans="1:33" x14ac:dyDescent="0.2">
      <c r="A51">
        <v>200</v>
      </c>
      <c r="B51" t="s">
        <v>142</v>
      </c>
      <c r="C51" t="s">
        <v>474</v>
      </c>
      <c r="D51" t="s">
        <v>736</v>
      </c>
      <c r="G51">
        <v>0</v>
      </c>
      <c r="H51">
        <v>0</v>
      </c>
      <c r="J51">
        <v>3.8790877908468253E-2</v>
      </c>
      <c r="K51">
        <v>2.374626882374287E-2</v>
      </c>
      <c r="L51">
        <v>0</v>
      </c>
      <c r="M51">
        <v>0</v>
      </c>
      <c r="U51">
        <v>6</v>
      </c>
      <c r="V51">
        <v>6</v>
      </c>
      <c r="W51" t="s">
        <v>148</v>
      </c>
      <c r="X51" t="s">
        <v>476</v>
      </c>
      <c r="AG51" t="s">
        <v>44</v>
      </c>
    </row>
    <row r="52" spans="1:33" x14ac:dyDescent="0.2">
      <c r="A52">
        <v>201</v>
      </c>
      <c r="B52" t="s">
        <v>155</v>
      </c>
      <c r="C52" t="s">
        <v>443</v>
      </c>
      <c r="D52" t="s">
        <v>736</v>
      </c>
      <c r="G52">
        <v>0</v>
      </c>
      <c r="H52">
        <v>0</v>
      </c>
      <c r="J52">
        <v>5.3928893059492111E-2</v>
      </c>
      <c r="K52">
        <v>1.388289034366608E-2</v>
      </c>
      <c r="L52">
        <v>0</v>
      </c>
      <c r="M52">
        <v>0</v>
      </c>
      <c r="U52">
        <v>6</v>
      </c>
      <c r="V52">
        <v>6</v>
      </c>
      <c r="W52" t="s">
        <v>161</v>
      </c>
      <c r="X52" t="s">
        <v>449</v>
      </c>
      <c r="AG52" t="s">
        <v>44</v>
      </c>
    </row>
    <row r="53" spans="1:33" x14ac:dyDescent="0.2">
      <c r="A53">
        <v>217</v>
      </c>
      <c r="B53" t="s">
        <v>341</v>
      </c>
      <c r="C53" t="s">
        <v>643</v>
      </c>
      <c r="D53" t="s">
        <v>736</v>
      </c>
      <c r="G53">
        <v>0</v>
      </c>
      <c r="H53">
        <v>0</v>
      </c>
      <c r="J53">
        <v>4.9503389745950699E-3</v>
      </c>
      <c r="K53">
        <v>1.7000000923871991E-2</v>
      </c>
      <c r="L53">
        <v>0</v>
      </c>
      <c r="M53">
        <v>0</v>
      </c>
      <c r="U53">
        <v>4</v>
      </c>
      <c r="V53">
        <v>5</v>
      </c>
      <c r="W53" t="s">
        <v>343</v>
      </c>
      <c r="X53" t="s">
        <v>645</v>
      </c>
      <c r="AG53" t="s">
        <v>44</v>
      </c>
    </row>
    <row r="54" spans="1:33" x14ac:dyDescent="0.2">
      <c r="A54">
        <v>218</v>
      </c>
      <c r="B54" t="s">
        <v>351</v>
      </c>
      <c r="C54" t="s">
        <v>653</v>
      </c>
      <c r="D54" t="s">
        <v>736</v>
      </c>
      <c r="G54">
        <v>0</v>
      </c>
      <c r="H54">
        <v>0</v>
      </c>
      <c r="J54">
        <v>2.7974141761660579E-2</v>
      </c>
      <c r="K54">
        <v>9.1936439275741577E-3</v>
      </c>
      <c r="L54">
        <v>0</v>
      </c>
      <c r="M54">
        <v>0</v>
      </c>
      <c r="U54">
        <v>5</v>
      </c>
      <c r="V54">
        <v>6</v>
      </c>
      <c r="W54" t="s">
        <v>353</v>
      </c>
      <c r="X54" t="s">
        <v>655</v>
      </c>
      <c r="AG54" t="s">
        <v>44</v>
      </c>
    </row>
    <row r="55" spans="1:33" x14ac:dyDescent="0.2">
      <c r="A55">
        <v>219</v>
      </c>
      <c r="B55" t="s">
        <v>362</v>
      </c>
      <c r="C55" t="s">
        <v>156</v>
      </c>
      <c r="D55" t="s">
        <v>736</v>
      </c>
      <c r="G55">
        <v>0</v>
      </c>
      <c r="H55">
        <v>0</v>
      </c>
      <c r="J55">
        <v>1.736330054700375E-2</v>
      </c>
      <c r="K55">
        <v>7.7115343883633614E-3</v>
      </c>
      <c r="L55">
        <v>0</v>
      </c>
      <c r="M55">
        <v>0</v>
      </c>
      <c r="U55">
        <v>6</v>
      </c>
      <c r="V55">
        <v>6</v>
      </c>
      <c r="W55" t="s">
        <v>368</v>
      </c>
      <c r="X55" t="s">
        <v>158</v>
      </c>
      <c r="AG55" t="s">
        <v>44</v>
      </c>
    </row>
    <row r="56" spans="1:33" x14ac:dyDescent="0.2">
      <c r="A56">
        <v>221</v>
      </c>
      <c r="B56" t="s">
        <v>377</v>
      </c>
      <c r="C56" t="s">
        <v>432</v>
      </c>
      <c r="D56" t="s">
        <v>736</v>
      </c>
      <c r="G56">
        <v>0</v>
      </c>
      <c r="H56">
        <v>0</v>
      </c>
      <c r="J56">
        <v>1.536143384873867E-2</v>
      </c>
      <c r="K56">
        <v>1.2647575698792929E-2</v>
      </c>
      <c r="L56">
        <v>0</v>
      </c>
      <c r="M56">
        <v>0</v>
      </c>
      <c r="U56">
        <v>6</v>
      </c>
      <c r="V56">
        <v>4</v>
      </c>
      <c r="W56" t="s">
        <v>379</v>
      </c>
      <c r="X56" t="s">
        <v>434</v>
      </c>
      <c r="AG56" t="s">
        <v>44</v>
      </c>
    </row>
    <row r="57" spans="1:33" x14ac:dyDescent="0.2">
      <c r="A57">
        <v>223</v>
      </c>
      <c r="B57" t="s">
        <v>394</v>
      </c>
      <c r="C57" t="s">
        <v>592</v>
      </c>
      <c r="D57" t="s">
        <v>736</v>
      </c>
      <c r="G57">
        <v>0</v>
      </c>
      <c r="H57">
        <v>0</v>
      </c>
      <c r="J57">
        <v>3.5963773727416992E-2</v>
      </c>
      <c r="K57">
        <v>6.2644467689096928E-3</v>
      </c>
      <c r="L57">
        <v>0</v>
      </c>
      <c r="M57">
        <v>0</v>
      </c>
      <c r="U57">
        <v>5</v>
      </c>
      <c r="V57">
        <v>4</v>
      </c>
      <c r="W57" t="s">
        <v>396</v>
      </c>
      <c r="X57" t="s">
        <v>740</v>
      </c>
      <c r="AG57" t="s">
        <v>44</v>
      </c>
    </row>
    <row r="58" spans="1:33" x14ac:dyDescent="0.2">
      <c r="A58">
        <v>224</v>
      </c>
      <c r="B58" t="s">
        <v>408</v>
      </c>
      <c r="C58" t="s">
        <v>624</v>
      </c>
      <c r="D58" t="s">
        <v>736</v>
      </c>
      <c r="G58">
        <v>0</v>
      </c>
      <c r="H58">
        <v>0</v>
      </c>
      <c r="J58">
        <v>3.2263681292533868E-2</v>
      </c>
      <c r="K58">
        <v>1.7097160220146179E-2</v>
      </c>
      <c r="L58">
        <v>0</v>
      </c>
      <c r="M58">
        <v>0</v>
      </c>
      <c r="U58">
        <v>4</v>
      </c>
      <c r="V58">
        <v>4</v>
      </c>
      <c r="W58" t="s">
        <v>410</v>
      </c>
      <c r="X58" t="s">
        <v>626</v>
      </c>
      <c r="AG58" t="s">
        <v>44</v>
      </c>
    </row>
    <row r="59" spans="1:33" x14ac:dyDescent="0.2">
      <c r="A59">
        <v>229</v>
      </c>
      <c r="B59" t="s">
        <v>465</v>
      </c>
      <c r="C59" t="s">
        <v>330</v>
      </c>
      <c r="D59" t="s">
        <v>736</v>
      </c>
      <c r="G59">
        <v>0</v>
      </c>
      <c r="H59">
        <v>0</v>
      </c>
      <c r="J59">
        <v>1.278448291122913E-2</v>
      </c>
      <c r="K59">
        <v>1.0548043064773079E-2</v>
      </c>
      <c r="L59">
        <v>0</v>
      </c>
      <c r="M59">
        <v>0</v>
      </c>
      <c r="U59">
        <v>5</v>
      </c>
      <c r="V59">
        <v>4</v>
      </c>
      <c r="W59" t="s">
        <v>466</v>
      </c>
      <c r="X59" t="s">
        <v>336</v>
      </c>
      <c r="AG59" t="s">
        <v>44</v>
      </c>
    </row>
    <row r="60" spans="1:33" x14ac:dyDescent="0.2">
      <c r="A60">
        <v>230</v>
      </c>
      <c r="B60" t="s">
        <v>473</v>
      </c>
      <c r="C60" t="s">
        <v>487</v>
      </c>
      <c r="D60" t="s">
        <v>736</v>
      </c>
      <c r="G60">
        <v>0</v>
      </c>
      <c r="H60">
        <v>0</v>
      </c>
      <c r="J60">
        <v>2.1342068910598751E-2</v>
      </c>
      <c r="K60">
        <v>1.1786266230046751E-2</v>
      </c>
      <c r="L60">
        <v>0</v>
      </c>
      <c r="M60">
        <v>0</v>
      </c>
      <c r="U60">
        <v>5</v>
      </c>
      <c r="V60">
        <v>4</v>
      </c>
      <c r="W60" t="s">
        <v>475</v>
      </c>
      <c r="X60" t="s">
        <v>489</v>
      </c>
      <c r="AG60" t="s">
        <v>44</v>
      </c>
    </row>
    <row r="61" spans="1:33" x14ac:dyDescent="0.2">
      <c r="A61">
        <v>239</v>
      </c>
      <c r="B61" t="s">
        <v>572</v>
      </c>
      <c r="C61" t="s">
        <v>34</v>
      </c>
      <c r="D61" t="s">
        <v>736</v>
      </c>
      <c r="G61">
        <v>0</v>
      </c>
      <c r="H61">
        <v>0</v>
      </c>
      <c r="J61">
        <v>1.2571472674608231E-2</v>
      </c>
      <c r="K61">
        <v>5.2999998442828664E-3</v>
      </c>
      <c r="L61">
        <v>0</v>
      </c>
      <c r="M61">
        <v>0</v>
      </c>
      <c r="U61">
        <v>6</v>
      </c>
      <c r="V61">
        <v>3</v>
      </c>
      <c r="W61" t="s">
        <v>573</v>
      </c>
      <c r="X61" t="s">
        <v>37</v>
      </c>
      <c r="AG61" t="s">
        <v>44</v>
      </c>
    </row>
    <row r="62" spans="1:33" x14ac:dyDescent="0.2">
      <c r="A62">
        <v>243</v>
      </c>
      <c r="B62" t="s">
        <v>609</v>
      </c>
      <c r="C62" t="s">
        <v>551</v>
      </c>
      <c r="D62" t="s">
        <v>736</v>
      </c>
      <c r="G62">
        <v>0</v>
      </c>
      <c r="H62">
        <v>0</v>
      </c>
      <c r="J62">
        <v>9.163987822830677E-3</v>
      </c>
      <c r="K62">
        <v>4.5184572227299213E-3</v>
      </c>
      <c r="L62">
        <v>0</v>
      </c>
      <c r="M62">
        <v>0</v>
      </c>
      <c r="U62">
        <v>5</v>
      </c>
      <c r="V62">
        <v>6</v>
      </c>
      <c r="W62" t="s">
        <v>611</v>
      </c>
      <c r="X62" t="s">
        <v>553</v>
      </c>
      <c r="AG62" t="s">
        <v>44</v>
      </c>
    </row>
    <row r="63" spans="1:33" x14ac:dyDescent="0.2">
      <c r="A63">
        <v>244</v>
      </c>
      <c r="B63" t="s">
        <v>623</v>
      </c>
      <c r="C63" t="s">
        <v>287</v>
      </c>
      <c r="D63" t="s">
        <v>736</v>
      </c>
      <c r="G63">
        <v>0</v>
      </c>
      <c r="H63">
        <v>0</v>
      </c>
      <c r="J63">
        <v>3.1517293304204941E-2</v>
      </c>
      <c r="K63">
        <v>3.6719653755426407E-2</v>
      </c>
      <c r="L63">
        <v>0</v>
      </c>
      <c r="M63">
        <v>0</v>
      </c>
      <c r="U63">
        <v>5</v>
      </c>
      <c r="V63">
        <v>5</v>
      </c>
      <c r="W63" t="s">
        <v>629</v>
      </c>
      <c r="X63" t="s">
        <v>289</v>
      </c>
      <c r="AG63" t="s">
        <v>44</v>
      </c>
    </row>
    <row r="64" spans="1:33" x14ac:dyDescent="0.2">
      <c r="A64">
        <v>249</v>
      </c>
      <c r="B64" t="s">
        <v>676</v>
      </c>
      <c r="C64" t="s">
        <v>728</v>
      </c>
      <c r="D64" t="s">
        <v>736</v>
      </c>
      <c r="G64">
        <v>0</v>
      </c>
      <c r="H64">
        <v>0</v>
      </c>
      <c r="J64">
        <v>3.153819357976317E-3</v>
      </c>
      <c r="K64">
        <v>4.1000000201165676E-3</v>
      </c>
      <c r="L64">
        <v>0</v>
      </c>
      <c r="M64">
        <v>0</v>
      </c>
      <c r="U64">
        <v>5</v>
      </c>
      <c r="V64">
        <v>7</v>
      </c>
      <c r="W64" t="s">
        <v>677</v>
      </c>
      <c r="X64" t="s">
        <v>730</v>
      </c>
      <c r="AG64" t="s">
        <v>44</v>
      </c>
    </row>
    <row r="65" spans="1:33" x14ac:dyDescent="0.2">
      <c r="A65">
        <v>255</v>
      </c>
      <c r="B65" t="s">
        <v>727</v>
      </c>
      <c r="C65" t="s">
        <v>561</v>
      </c>
      <c r="D65" t="s">
        <v>736</v>
      </c>
      <c r="G65">
        <v>0</v>
      </c>
      <c r="H65">
        <v>0</v>
      </c>
      <c r="J65">
        <v>1.289214286953211E-2</v>
      </c>
      <c r="K65">
        <v>8.1641878932714462E-3</v>
      </c>
      <c r="L65">
        <v>0</v>
      </c>
      <c r="M65">
        <v>0</v>
      </c>
      <c r="U65">
        <v>6</v>
      </c>
      <c r="V65">
        <v>6</v>
      </c>
      <c r="W65" t="s">
        <v>732</v>
      </c>
      <c r="X65" t="s">
        <v>563</v>
      </c>
      <c r="AG6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all_pairs</vt:lpstr>
      <vt:lpstr>col_legend</vt:lpstr>
      <vt:lpstr>List A</vt:lpstr>
      <vt:lpstr>List B</vt:lpstr>
      <vt:lpstr>List C</vt:lpstr>
      <vt:lpstr>List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Fengwei Liu</cp:lastModifiedBy>
  <dcterms:created xsi:type="dcterms:W3CDTF">2026-08-15T21:54:40Z</dcterms:created>
  <dcterms:modified xsi:type="dcterms:W3CDTF">2026-09-15T21:57:04Z</dcterms:modified>
</cp:coreProperties>
</file>